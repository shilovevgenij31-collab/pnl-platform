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slanalyev/Downloads/"/>
    </mc:Choice>
  </mc:AlternateContent>
  <xr:revisionPtr revIDLastSave="0" documentId="13_ncr:1_{3A0AB357-78F8-D044-A42F-57CB685F7A35}" xr6:coauthVersionLast="47" xr6:coauthVersionMax="47" xr10:uidLastSave="{00000000-0000-0000-0000-000000000000}"/>
  <bookViews>
    <workbookView xWindow="0" yWindow="620" windowWidth="33600" windowHeight="18240" xr2:uid="{00000000-000D-0000-FFFF-FFFF00000000}"/>
  </bookViews>
  <sheets>
    <sheet name="Факт" sheetId="14" r:id="rId1"/>
    <sheet name="Направления" sheetId="17" state="hidden" r:id="rId2"/>
    <sheet name="Альтернативная структура" sheetId="20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7" i="20" l="1"/>
  <c r="M176" i="20"/>
  <c r="M175" i="20"/>
  <c r="M174" i="20"/>
  <c r="M173" i="20"/>
  <c r="M172" i="20"/>
  <c r="M171" i="20"/>
  <c r="M170" i="20"/>
  <c r="M169" i="20"/>
  <c r="M168" i="20"/>
  <c r="M167" i="20"/>
  <c r="M166" i="20"/>
  <c r="M165" i="20"/>
  <c r="M164" i="20"/>
  <c r="M163" i="20"/>
  <c r="M162" i="20"/>
  <c r="B162" i="20"/>
  <c r="M161" i="20"/>
  <c r="B161" i="20"/>
  <c r="C160" i="20"/>
  <c r="M160" i="20" s="1"/>
  <c r="M156" i="20"/>
  <c r="M155" i="20"/>
  <c r="M154" i="20"/>
  <c r="M153" i="20"/>
  <c r="M152" i="20"/>
  <c r="M151" i="20"/>
  <c r="M150" i="20"/>
  <c r="M149" i="20"/>
  <c r="M148" i="20"/>
  <c r="M147" i="20"/>
  <c r="M146" i="20"/>
  <c r="M145" i="20"/>
  <c r="M144" i="20"/>
  <c r="M143" i="20"/>
  <c r="M142" i="20"/>
  <c r="M141" i="20"/>
  <c r="M140" i="20"/>
  <c r="M139" i="20"/>
  <c r="B139" i="20"/>
  <c r="C138" i="20"/>
  <c r="M138" i="20" s="1"/>
  <c r="M121" i="20"/>
  <c r="M120" i="20"/>
  <c r="M119" i="20"/>
  <c r="M118" i="20"/>
  <c r="M117" i="20"/>
  <c r="M116" i="20"/>
  <c r="M115" i="20"/>
  <c r="M114" i="20"/>
  <c r="M113" i="20"/>
  <c r="M112" i="20"/>
  <c r="M111" i="20"/>
  <c r="M110" i="20"/>
  <c r="M109" i="20"/>
  <c r="M108" i="20"/>
  <c r="B108" i="20"/>
  <c r="C107" i="20"/>
  <c r="C92" i="20" s="1"/>
  <c r="M92" i="20" s="1"/>
  <c r="H89" i="20"/>
  <c r="H90" i="20" s="1"/>
  <c r="M88" i="20"/>
  <c r="M87" i="20"/>
  <c r="M86" i="20"/>
  <c r="M85" i="20"/>
  <c r="M84" i="20"/>
  <c r="M83" i="20"/>
  <c r="M82" i="20"/>
  <c r="M81" i="20"/>
  <c r="M80" i="20"/>
  <c r="M79" i="20"/>
  <c r="M78" i="20"/>
  <c r="M77" i="20"/>
  <c r="M76" i="20"/>
  <c r="M75" i="20"/>
  <c r="M74" i="20"/>
  <c r="M73" i="20"/>
  <c r="M72" i="20"/>
  <c r="M71" i="20"/>
  <c r="M70" i="20"/>
  <c r="M69" i="20"/>
  <c r="M68" i="20"/>
  <c r="M67" i="20"/>
  <c r="M66" i="20"/>
  <c r="M65" i="20"/>
  <c r="M64" i="20"/>
  <c r="M63" i="20"/>
  <c r="M62" i="20"/>
  <c r="M61" i="20"/>
  <c r="M60" i="20"/>
  <c r="M59" i="20"/>
  <c r="M58" i="20"/>
  <c r="B58" i="20"/>
  <c r="L57" i="20"/>
  <c r="K57" i="20"/>
  <c r="J57" i="20"/>
  <c r="I57" i="20"/>
  <c r="H57" i="20"/>
  <c r="G57" i="20"/>
  <c r="F57" i="20"/>
  <c r="E57" i="20"/>
  <c r="D57" i="20"/>
  <c r="C57" i="20"/>
  <c r="E55" i="20"/>
  <c r="L54" i="20"/>
  <c r="L89" i="20" s="1"/>
  <c r="L90" i="20" s="1"/>
  <c r="H54" i="20"/>
  <c r="H55" i="20" s="1"/>
  <c r="E54" i="20"/>
  <c r="E89" i="20" s="1"/>
  <c r="E90" i="20" s="1"/>
  <c r="D54" i="20"/>
  <c r="D55" i="20" s="1"/>
  <c r="M53" i="20"/>
  <c r="M52" i="20"/>
  <c r="M51" i="20"/>
  <c r="M50" i="20"/>
  <c r="M49" i="20"/>
  <c r="M48" i="20"/>
  <c r="M47" i="20"/>
  <c r="M46" i="20"/>
  <c r="M45" i="20"/>
  <c r="M44" i="20"/>
  <c r="M43" i="20"/>
  <c r="M42" i="20"/>
  <c r="M41" i="20"/>
  <c r="M40" i="20"/>
  <c r="M39" i="20"/>
  <c r="M38" i="20"/>
  <c r="M37" i="20"/>
  <c r="M36" i="20"/>
  <c r="M35" i="20"/>
  <c r="M34" i="20"/>
  <c r="M33" i="20"/>
  <c r="M32" i="20"/>
  <c r="M31" i="20"/>
  <c r="M30" i="20"/>
  <c r="M29" i="20"/>
  <c r="M28" i="20"/>
  <c r="M27" i="20"/>
  <c r="M26" i="20"/>
  <c r="M25" i="20"/>
  <c r="M24" i="20"/>
  <c r="M23" i="20"/>
  <c r="M22" i="20"/>
  <c r="M21" i="20"/>
  <c r="M20" i="20"/>
  <c r="M19" i="20"/>
  <c r="M18" i="20"/>
  <c r="M17" i="20"/>
  <c r="M16" i="20"/>
  <c r="M15" i="20"/>
  <c r="M14" i="20"/>
  <c r="M13" i="20"/>
  <c r="M12" i="20"/>
  <c r="B12" i="20"/>
  <c r="L11" i="20"/>
  <c r="K11" i="20"/>
  <c r="J11" i="20"/>
  <c r="I11" i="20"/>
  <c r="H11" i="20"/>
  <c r="G11" i="20"/>
  <c r="F11" i="20"/>
  <c r="E11" i="20"/>
  <c r="D11" i="20"/>
  <c r="C11" i="20"/>
  <c r="M7" i="20"/>
  <c r="M6" i="20"/>
  <c r="M5" i="20"/>
  <c r="M4" i="20"/>
  <c r="M3" i="20"/>
  <c r="B3" i="20"/>
  <c r="L2" i="20"/>
  <c r="K2" i="20"/>
  <c r="K54" i="20" s="1"/>
  <c r="J2" i="20"/>
  <c r="J54" i="20" s="1"/>
  <c r="I2" i="20"/>
  <c r="I54" i="20" s="1"/>
  <c r="H2" i="20"/>
  <c r="G2" i="20"/>
  <c r="G54" i="20" s="1"/>
  <c r="F2" i="20"/>
  <c r="F54" i="20" s="1"/>
  <c r="E2" i="20"/>
  <c r="D2" i="20"/>
  <c r="C2" i="20"/>
  <c r="C54" i="20" s="1"/>
  <c r="C1" i="20" a="1"/>
  <c r="L1" i="20" s="1"/>
  <c r="A27" i="17" a="1"/>
  <c r="A27" i="17" s="1"/>
  <c r="A22" i="17"/>
  <c r="A21" i="17"/>
  <c r="A20" i="17"/>
  <c r="A17" i="17" a="1"/>
  <c r="A17" i="17" s="1"/>
  <c r="A6" i="17" a="1"/>
  <c r="A6" i="17" s="1"/>
  <c r="C141" i="14"/>
  <c r="C139" i="14" s="1"/>
  <c r="D140" i="14"/>
  <c r="C137" i="14"/>
  <c r="O134" i="14"/>
  <c r="D132" i="14"/>
  <c r="C129" i="14"/>
  <c r="P121" i="14"/>
  <c r="P120" i="14"/>
  <c r="B114" i="14"/>
  <c r="B113" i="14"/>
  <c r="B102" i="14"/>
  <c r="B81" i="14"/>
  <c r="B77" i="14"/>
  <c r="B76" i="14"/>
  <c r="B75" i="14"/>
  <c r="B74" i="14"/>
  <c r="B73" i="14"/>
  <c r="U72" i="14"/>
  <c r="T72" i="14"/>
  <c r="B72" i="14"/>
  <c r="W71" i="14"/>
  <c r="U71" i="14"/>
  <c r="T71" i="14"/>
  <c r="B71" i="14"/>
  <c r="V70" i="14"/>
  <c r="U70" i="14"/>
  <c r="T70" i="14"/>
  <c r="B70" i="14"/>
  <c r="W69" i="14"/>
  <c r="B69" i="14"/>
  <c r="W68" i="14"/>
  <c r="B68" i="14"/>
  <c r="W67" i="14"/>
  <c r="B67" i="14"/>
  <c r="W66" i="14"/>
  <c r="B66" i="14"/>
  <c r="W65" i="14"/>
  <c r="B65" i="14"/>
  <c r="W64" i="14"/>
  <c r="B64" i="14"/>
  <c r="W63" i="14"/>
  <c r="B63" i="14"/>
  <c r="W62" i="14"/>
  <c r="B62" i="14"/>
  <c r="W61" i="14"/>
  <c r="B61" i="14"/>
  <c r="W60" i="14"/>
  <c r="P59" i="14"/>
  <c r="P56" i="14"/>
  <c r="B28" i="14"/>
  <c r="B27" i="14"/>
  <c r="B26" i="14"/>
  <c r="B25" i="14"/>
  <c r="B21" i="14"/>
  <c r="B20" i="14"/>
  <c r="B19" i="14"/>
  <c r="B18" i="14"/>
  <c r="B17" i="14"/>
  <c r="B16" i="14"/>
  <c r="B6" i="14"/>
  <c r="B5" i="14"/>
  <c r="M119" i="14"/>
  <c r="E119" i="14"/>
  <c r="J118" i="14"/>
  <c r="O117" i="14"/>
  <c r="G117" i="14"/>
  <c r="L116" i="14"/>
  <c r="D116" i="14"/>
  <c r="I115" i="14"/>
  <c r="J110" i="14"/>
  <c r="O109" i="14"/>
  <c r="G109" i="14"/>
  <c r="L108" i="14"/>
  <c r="D108" i="14"/>
  <c r="I107" i="14"/>
  <c r="N106" i="14"/>
  <c r="F106" i="14"/>
  <c r="K105" i="14"/>
  <c r="H104" i="14"/>
  <c r="M103" i="14"/>
  <c r="E103" i="14"/>
  <c r="I96" i="14"/>
  <c r="N95" i="14"/>
  <c r="F95" i="14"/>
  <c r="K94" i="14"/>
  <c r="H93" i="14"/>
  <c r="M92" i="14"/>
  <c r="E92" i="14"/>
  <c r="J91" i="14"/>
  <c r="O90" i="14"/>
  <c r="G90" i="14"/>
  <c r="L89" i="14"/>
  <c r="D89" i="14"/>
  <c r="I88" i="14"/>
  <c r="N87" i="14"/>
  <c r="F87" i="14"/>
  <c r="K86" i="14"/>
  <c r="H85" i="14"/>
  <c r="M84" i="14"/>
  <c r="E84" i="14"/>
  <c r="L83" i="14"/>
  <c r="D83" i="14"/>
  <c r="K82" i="14"/>
  <c r="H79" i="14"/>
  <c r="M78" i="14"/>
  <c r="E78" i="14"/>
  <c r="B22" i="17"/>
  <c r="K119" i="14"/>
  <c r="H118" i="14"/>
  <c r="M117" i="14"/>
  <c r="E117" i="14"/>
  <c r="J116" i="14"/>
  <c r="O115" i="14"/>
  <c r="G115" i="14"/>
  <c r="M114" i="14"/>
  <c r="E114" i="14"/>
  <c r="H110" i="14"/>
  <c r="M109" i="14"/>
  <c r="E109" i="14"/>
  <c r="J108" i="14"/>
  <c r="O107" i="14"/>
  <c r="G107" i="14"/>
  <c r="L106" i="14"/>
  <c r="D106" i="14"/>
  <c r="I105" i="14"/>
  <c r="N104" i="14"/>
  <c r="F104" i="14"/>
  <c r="L22" i="17"/>
  <c r="I119" i="14"/>
  <c r="N118" i="14"/>
  <c r="F118" i="14"/>
  <c r="K117" i="14"/>
  <c r="H116" i="14"/>
  <c r="M115" i="14"/>
  <c r="E115" i="14"/>
  <c r="N110" i="14"/>
  <c r="F110" i="14"/>
  <c r="K109" i="14"/>
  <c r="H108" i="14"/>
  <c r="M107" i="14"/>
  <c r="E107" i="14"/>
  <c r="J106" i="14"/>
  <c r="O105" i="14"/>
  <c r="G105" i="14"/>
  <c r="L104" i="14"/>
  <c r="D104" i="14"/>
  <c r="I103" i="14"/>
  <c r="O102" i="14"/>
  <c r="G102" i="14"/>
  <c r="M96" i="14"/>
  <c r="E96" i="14"/>
  <c r="C22" i="17"/>
  <c r="B20" i="17"/>
  <c r="L17" i="17"/>
  <c r="D119" i="14"/>
  <c r="D118" i="14"/>
  <c r="D117" i="14"/>
  <c r="E116" i="14"/>
  <c r="D115" i="14"/>
  <c r="F114" i="14"/>
  <c r="L110" i="14"/>
  <c r="L109" i="14"/>
  <c r="M108" i="14"/>
  <c r="L107" i="14"/>
  <c r="M106" i="14"/>
  <c r="M105" i="14"/>
  <c r="M104" i="14"/>
  <c r="N103" i="14"/>
  <c r="F102" i="14"/>
  <c r="H96" i="14"/>
  <c r="K95" i="14"/>
  <c r="O94" i="14"/>
  <c r="F94" i="14"/>
  <c r="J93" i="14"/>
  <c r="N92" i="14"/>
  <c r="D92" i="14"/>
  <c r="H91" i="14"/>
  <c r="L90" i="14"/>
  <c r="G89" i="14"/>
  <c r="K88" i="14"/>
  <c r="O87" i="14"/>
  <c r="E87" i="14"/>
  <c r="I86" i="14"/>
  <c r="M85" i="14"/>
  <c r="D85" i="14"/>
  <c r="H84" i="14"/>
  <c r="N83" i="14"/>
  <c r="E83" i="14"/>
  <c r="J82" i="14"/>
  <c r="L79" i="14"/>
  <c r="G78" i="14"/>
  <c r="H55" i="14"/>
  <c r="M54" i="14"/>
  <c r="E54" i="14"/>
  <c r="J53" i="14"/>
  <c r="F17" i="17"/>
  <c r="N119" i="14"/>
  <c r="M118" i="14"/>
  <c r="N117" i="14"/>
  <c r="N116" i="14"/>
  <c r="N115" i="14"/>
  <c r="O114" i="14"/>
  <c r="I110" i="14"/>
  <c r="I109" i="14"/>
  <c r="I108" i="14"/>
  <c r="J107" i="14"/>
  <c r="I106" i="14"/>
  <c r="J105" i="14"/>
  <c r="J104" i="14"/>
  <c r="K103" i="14"/>
  <c r="N102" i="14"/>
  <c r="D102" i="14"/>
  <c r="F96" i="14"/>
  <c r="I95" i="14"/>
  <c r="M94" i="14"/>
  <c r="D94" i="14"/>
  <c r="G93" i="14"/>
  <c r="K92" i="14"/>
  <c r="O91" i="14"/>
  <c r="F91" i="14"/>
  <c r="J90" i="14"/>
  <c r="N89" i="14"/>
  <c r="E89" i="14"/>
  <c r="H88" i="14"/>
  <c r="L87" i="14"/>
  <c r="G86" i="14"/>
  <c r="K85" i="14"/>
  <c r="O84" i="14"/>
  <c r="F84" i="14"/>
  <c r="K83" i="14"/>
  <c r="H82" i="14"/>
  <c r="J79" i="14"/>
  <c r="N78" i="14"/>
  <c r="D78" i="14"/>
  <c r="I76" i="14"/>
  <c r="I71" i="14"/>
  <c r="D17" i="17"/>
  <c r="L119" i="14"/>
  <c r="L118" i="14"/>
  <c r="L117" i="14"/>
  <c r="M116" i="14"/>
  <c r="L115" i="14"/>
  <c r="N114" i="14"/>
  <c r="G110" i="14"/>
  <c r="H109" i="14"/>
  <c r="G108" i="14"/>
  <c r="H107" i="14"/>
  <c r="G119" i="14"/>
  <c r="J117" i="14"/>
  <c r="F116" i="14"/>
  <c r="J114" i="14"/>
  <c r="J109" i="14"/>
  <c r="H106" i="14"/>
  <c r="E105" i="14"/>
  <c r="O103" i="14"/>
  <c r="M102" i="14"/>
  <c r="L96" i="14"/>
  <c r="L95" i="14"/>
  <c r="L94" i="14"/>
  <c r="M93" i="14"/>
  <c r="O92" i="14"/>
  <c r="N91" i="14"/>
  <c r="D90" i="14"/>
  <c r="E88" i="14"/>
  <c r="G87" i="14"/>
  <c r="F86" i="14"/>
  <c r="G85" i="14"/>
  <c r="I84" i="14"/>
  <c r="J83" i="14"/>
  <c r="N82" i="14"/>
  <c r="F79" i="14"/>
  <c r="H78" i="14"/>
  <c r="N76" i="14"/>
  <c r="D76" i="14"/>
  <c r="L71" i="14"/>
  <c r="M55" i="14"/>
  <c r="D55" i="14"/>
  <c r="H54" i="14"/>
  <c r="L53" i="14"/>
  <c r="H52" i="14"/>
  <c r="M51" i="14"/>
  <c r="E51" i="14"/>
  <c r="J50" i="14"/>
  <c r="O49" i="14"/>
  <c r="G49" i="14"/>
  <c r="L48" i="14"/>
  <c r="D48" i="14"/>
  <c r="I47" i="14"/>
  <c r="N46" i="14"/>
  <c r="F46" i="14"/>
  <c r="K45" i="14"/>
  <c r="H44" i="14"/>
  <c r="M42" i="14"/>
  <c r="E42" i="14"/>
  <c r="J41" i="14"/>
  <c r="O40" i="14"/>
  <c r="G40" i="14"/>
  <c r="L39" i="14"/>
  <c r="D39" i="14"/>
  <c r="I38" i="14"/>
  <c r="N37" i="14"/>
  <c r="F37" i="14"/>
  <c r="K36" i="14"/>
  <c r="H35" i="14"/>
  <c r="M34" i="14"/>
  <c r="E34" i="14"/>
  <c r="J33" i="14"/>
  <c r="O32" i="14"/>
  <c r="G32" i="14"/>
  <c r="L31" i="14"/>
  <c r="D31" i="14"/>
  <c r="I30" i="14"/>
  <c r="N29" i="14"/>
  <c r="F29" i="14"/>
  <c r="K20" i="17"/>
  <c r="G17" i="17"/>
  <c r="H20" i="17"/>
  <c r="O118" i="14"/>
  <c r="H117" i="14"/>
  <c r="K115" i="14"/>
  <c r="H114" i="14"/>
  <c r="M110" i="14"/>
  <c r="D109" i="14"/>
  <c r="K107" i="14"/>
  <c r="E106" i="14"/>
  <c r="O104" i="14"/>
  <c r="J103" i="14"/>
  <c r="J102" i="14"/>
  <c r="J96" i="14"/>
  <c r="H95" i="14"/>
  <c r="I94" i="14"/>
  <c r="K93" i="14"/>
  <c r="J92" i="14"/>
  <c r="L91" i="14"/>
  <c r="M90" i="14"/>
  <c r="M89" i="14"/>
  <c r="N88" i="14"/>
  <c r="O86" i="14"/>
  <c r="D86" i="14"/>
  <c r="E85" i="14"/>
  <c r="D84" i="14"/>
  <c r="H83" i="14"/>
  <c r="L82" i="14"/>
  <c r="O79" i="14"/>
  <c r="D79" i="14"/>
  <c r="L76" i="14"/>
  <c r="K74" i="14"/>
  <c r="K72" i="14"/>
  <c r="H71" i="14"/>
  <c r="J70" i="14"/>
  <c r="J66" i="14"/>
  <c r="J62" i="14"/>
  <c r="K55" i="14"/>
  <c r="O54" i="14"/>
  <c r="F54" i="14"/>
  <c r="I53" i="14"/>
  <c r="N52" i="14"/>
  <c r="F52" i="14"/>
  <c r="K51" i="14"/>
  <c r="H50" i="14"/>
  <c r="M49" i="14"/>
  <c r="E49" i="14"/>
  <c r="J48" i="14"/>
  <c r="O47" i="14"/>
  <c r="G47" i="14"/>
  <c r="L46" i="14"/>
  <c r="D46" i="14"/>
  <c r="I45" i="14"/>
  <c r="N44" i="14"/>
  <c r="C20" i="17"/>
  <c r="H6" i="17"/>
  <c r="K118" i="14"/>
  <c r="F117" i="14"/>
  <c r="J115" i="14"/>
  <c r="D114" i="14"/>
  <c r="K110" i="14"/>
  <c r="O108" i="14"/>
  <c r="F107" i="14"/>
  <c r="K104" i="14"/>
  <c r="H103" i="14"/>
  <c r="I102" i="14"/>
  <c r="G96" i="14"/>
  <c r="G95" i="14"/>
  <c r="H94" i="14"/>
  <c r="I93" i="14"/>
  <c r="I92" i="14"/>
  <c r="K91" i="14"/>
  <c r="K90" i="14"/>
  <c r="K89" i="14"/>
  <c r="M88" i="14"/>
  <c r="M87" i="14"/>
  <c r="N86" i="14"/>
  <c r="O85" i="14"/>
  <c r="G83" i="14"/>
  <c r="I82" i="14"/>
  <c r="N79" i="14"/>
  <c r="O78" i="14"/>
  <c r="J76" i="14"/>
  <c r="J74" i="14"/>
  <c r="J72" i="14"/>
  <c r="G71" i="14"/>
  <c r="I70" i="14"/>
  <c r="I66" i="14"/>
  <c r="I62" i="14"/>
  <c r="J55" i="14"/>
  <c r="N54" i="14"/>
  <c r="D54" i="14"/>
  <c r="H53" i="14"/>
  <c r="M52" i="14"/>
  <c r="E52" i="14"/>
  <c r="J51" i="14"/>
  <c r="O50" i="14"/>
  <c r="G50" i="14"/>
  <c r="L49" i="14"/>
  <c r="D49" i="14"/>
  <c r="I48" i="14"/>
  <c r="N47" i="14"/>
  <c r="F47" i="14"/>
  <c r="K46" i="14"/>
  <c r="H45" i="14"/>
  <c r="L21" i="17"/>
  <c r="F6" i="17"/>
  <c r="I118" i="14"/>
  <c r="G116" i="14"/>
  <c r="K108" i="14"/>
  <c r="G106" i="14"/>
  <c r="E104" i="14"/>
  <c r="H102" i="14"/>
  <c r="J95" i="14"/>
  <c r="O93" i="14"/>
  <c r="H92" i="14"/>
  <c r="D91" i="14"/>
  <c r="I89" i="14"/>
  <c r="D88" i="14"/>
  <c r="J86" i="14"/>
  <c r="N84" i="14"/>
  <c r="M83" i="14"/>
  <c r="F82" i="14"/>
  <c r="J78" i="14"/>
  <c r="E76" i="14"/>
  <c r="D72" i="14"/>
  <c r="M71" i="14"/>
  <c r="E70" i="14"/>
  <c r="J67" i="14"/>
  <c r="H63" i="14"/>
  <c r="M62" i="14"/>
  <c r="O55" i="14"/>
  <c r="L54" i="14"/>
  <c r="M53" i="14"/>
  <c r="K52" i="14"/>
  <c r="L51" i="14"/>
  <c r="L50" i="14"/>
  <c r="K49" i="14"/>
  <c r="M48" i="14"/>
  <c r="L47" i="14"/>
  <c r="M46" i="14"/>
  <c r="M45" i="14"/>
  <c r="M44" i="14"/>
  <c r="D44" i="14"/>
  <c r="H42" i="14"/>
  <c r="L41" i="14"/>
  <c r="F40" i="14"/>
  <c r="J39" i="14"/>
  <c r="N38" i="14"/>
  <c r="E38" i="14"/>
  <c r="I37" i="14"/>
  <c r="M36" i="14"/>
  <c r="D36" i="14"/>
  <c r="G35" i="14"/>
  <c r="K34" i="14"/>
  <c r="O33" i="14"/>
  <c r="F33" i="14"/>
  <c r="J32" i="14"/>
  <c r="N31" i="14"/>
  <c r="E31" i="14"/>
  <c r="H30" i="14"/>
  <c r="L29" i="14"/>
  <c r="N27" i="14"/>
  <c r="E27" i="14"/>
  <c r="J26" i="14"/>
  <c r="O24" i="14"/>
  <c r="G24" i="14"/>
  <c r="M13" i="14"/>
  <c r="E13" i="14"/>
  <c r="J12" i="14"/>
  <c r="N11" i="14"/>
  <c r="F11" i="14"/>
  <c r="J10" i="14"/>
  <c r="N9" i="14"/>
  <c r="F9" i="14"/>
  <c r="J8" i="14"/>
  <c r="N7" i="14"/>
  <c r="F7" i="14"/>
  <c r="G118" i="14"/>
  <c r="O113" i="14"/>
  <c r="O110" i="14"/>
  <c r="F108" i="14"/>
  <c r="N105" i="14"/>
  <c r="E102" i="14"/>
  <c r="O96" i="14"/>
  <c r="E95" i="14"/>
  <c r="N93" i="14"/>
  <c r="G92" i="14"/>
  <c r="N90" i="14"/>
  <c r="H89" i="14"/>
  <c r="K87" i="14"/>
  <c r="H86" i="14"/>
  <c r="L84" i="14"/>
  <c r="I83" i="14"/>
  <c r="E82" i="14"/>
  <c r="M79" i="14"/>
  <c r="I78" i="14"/>
  <c r="K76" i="14"/>
  <c r="J71" i="14"/>
  <c r="D70" i="14"/>
  <c r="I67" i="14"/>
  <c r="O66" i="14"/>
  <c r="G63" i="14"/>
  <c r="K62" i="14"/>
  <c r="N55" i="14"/>
  <c r="K54" i="14"/>
  <c r="K53" i="14"/>
  <c r="J52" i="14"/>
  <c r="I51" i="14"/>
  <c r="K50" i="14"/>
  <c r="J49" i="14"/>
  <c r="K48" i="14"/>
  <c r="K47" i="14"/>
  <c r="J46" i="14"/>
  <c r="L45" i="14"/>
  <c r="L44" i="14"/>
  <c r="G42" i="14"/>
  <c r="K41" i="14"/>
  <c r="N40" i="14"/>
  <c r="E40" i="14"/>
  <c r="I39" i="14"/>
  <c r="M38" i="14"/>
  <c r="D38" i="14"/>
  <c r="H37" i="14"/>
  <c r="L36" i="14"/>
  <c r="O35" i="14"/>
  <c r="F35" i="14"/>
  <c r="J34" i="14"/>
  <c r="N33" i="14"/>
  <c r="E33" i="14"/>
  <c r="I32" i="14"/>
  <c r="M31" i="14"/>
  <c r="G30" i="14"/>
  <c r="K29" i="14"/>
  <c r="M27" i="14"/>
  <c r="D27" i="14"/>
  <c r="K26" i="14"/>
  <c r="N24" i="14"/>
  <c r="F24" i="14"/>
  <c r="D19" i="14"/>
  <c r="J17" i="14"/>
  <c r="L13" i="14"/>
  <c r="D13" i="14"/>
  <c r="I12" i="14"/>
  <c r="M11" i="14"/>
  <c r="E11" i="14"/>
  <c r="I10" i="14"/>
  <c r="M9" i="14"/>
  <c r="E9" i="14"/>
  <c r="I8" i="14"/>
  <c r="M7" i="14"/>
  <c r="E7" i="14"/>
  <c r="J6" i="14"/>
  <c r="E118" i="14"/>
  <c r="H115" i="14"/>
  <c r="M113" i="14"/>
  <c r="E110" i="14"/>
  <c r="E108" i="14"/>
  <c r="L105" i="14"/>
  <c r="L103" i="14"/>
  <c r="K102" i="14"/>
  <c r="N96" i="14"/>
  <c r="D95" i="14"/>
  <c r="L93" i="14"/>
  <c r="F92" i="14"/>
  <c r="I90" i="14"/>
  <c r="F89" i="14"/>
  <c r="J87" i="14"/>
  <c r="E86" i="14"/>
  <c r="K84" i="14"/>
  <c r="F83" i="14"/>
  <c r="D82" i="14"/>
  <c r="K79" i="14"/>
  <c r="F78" i="14"/>
  <c r="N75" i="14"/>
  <c r="N74" i="14"/>
  <c r="L73" i="14"/>
  <c r="F71" i="14"/>
  <c r="H67" i="14"/>
  <c r="M66" i="14"/>
  <c r="O65" i="14"/>
  <c r="D63" i="14"/>
  <c r="H62" i="14"/>
  <c r="L55" i="14"/>
  <c r="J54" i="14"/>
  <c r="G53" i="14"/>
  <c r="I52" i="14"/>
  <c r="H51" i="14"/>
  <c r="I50" i="14"/>
  <c r="I49" i="14"/>
  <c r="H48" i="14"/>
  <c r="J47" i="14"/>
  <c r="I46" i="14"/>
  <c r="J45" i="14"/>
  <c r="K44" i="14"/>
  <c r="O42" i="14"/>
  <c r="F42" i="14"/>
  <c r="I41" i="14"/>
  <c r="M40" i="14"/>
  <c r="D40" i="14"/>
  <c r="H39" i="14"/>
  <c r="L38" i="14"/>
  <c r="G37" i="14"/>
  <c r="J36" i="14"/>
  <c r="N35" i="14"/>
  <c r="E35" i="14"/>
  <c r="I34" i="14"/>
  <c r="M33" i="14"/>
  <c r="D33" i="14"/>
  <c r="H32" i="14"/>
  <c r="K31" i="14"/>
  <c r="O30" i="14"/>
  <c r="F30" i="14"/>
  <c r="J29" i="14"/>
  <c r="L27" i="14"/>
  <c r="K27" i="14"/>
  <c r="I26" i="14"/>
  <c r="M24" i="14"/>
  <c r="E24" i="14"/>
  <c r="I17" i="14"/>
  <c r="K13" i="14"/>
  <c r="H12" i="14"/>
  <c r="L11" i="14"/>
  <c r="D11" i="14"/>
  <c r="H10" i="14"/>
  <c r="L9" i="14"/>
  <c r="D9" i="14"/>
  <c r="H8" i="14"/>
  <c r="L7" i="14"/>
  <c r="D7" i="14"/>
  <c r="I6" i="14"/>
  <c r="O116" i="14"/>
  <c r="H113" i="14"/>
  <c r="F109" i="14"/>
  <c r="F105" i="14"/>
  <c r="L102" i="14"/>
  <c r="M95" i="14"/>
  <c r="D93" i="14"/>
  <c r="H90" i="14"/>
  <c r="G88" i="14"/>
  <c r="L85" i="14"/>
  <c r="O83" i="14"/>
  <c r="I81" i="14"/>
  <c r="K78" i="14"/>
  <c r="M76" i="14"/>
  <c r="G75" i="14"/>
  <c r="N72" i="14"/>
  <c r="D67" i="14"/>
  <c r="D66" i="14"/>
  <c r="E55" i="14"/>
  <c r="E53" i="14"/>
  <c r="N51" i="14"/>
  <c r="D50" i="14"/>
  <c r="G48" i="14"/>
  <c r="F45" i="14"/>
  <c r="E44" i="14"/>
  <c r="O41" i="14"/>
  <c r="L40" i="14"/>
  <c r="M39" i="14"/>
  <c r="J38" i="14"/>
  <c r="J37" i="14"/>
  <c r="G36" i="14"/>
  <c r="D35" i="14"/>
  <c r="D34" i="14"/>
  <c r="N32" i="14"/>
  <c r="O31" i="14"/>
  <c r="L30" i="14"/>
  <c r="I29" i="14"/>
  <c r="I27" i="14"/>
  <c r="N26" i="14"/>
  <c r="I19" i="14"/>
  <c r="N18" i="14"/>
  <c r="E17" i="14"/>
  <c r="N13" i="14"/>
  <c r="M12" i="14"/>
  <c r="K11" i="14"/>
  <c r="L10" i="14"/>
  <c r="J9" i="14"/>
  <c r="K8" i="14"/>
  <c r="I7" i="14"/>
  <c r="H6" i="14"/>
  <c r="G6" i="17"/>
  <c r="K116" i="14"/>
  <c r="N108" i="14"/>
  <c r="D105" i="14"/>
  <c r="F90" i="14"/>
  <c r="F88" i="14"/>
  <c r="J85" i="14"/>
  <c r="H81" i="14"/>
  <c r="O77" i="14"/>
  <c r="H76" i="14"/>
  <c r="D75" i="14"/>
  <c r="K73" i="14"/>
  <c r="L72" i="14"/>
  <c r="K67" i="14"/>
  <c r="D53" i="14"/>
  <c r="G51" i="14"/>
  <c r="F48" i="14"/>
  <c r="O46" i="14"/>
  <c r="E45" i="14"/>
  <c r="N42" i="14"/>
  <c r="N41" i="14"/>
  <c r="K40" i="14"/>
  <c r="K39" i="14"/>
  <c r="H38" i="14"/>
  <c r="E37" i="14"/>
  <c r="F36" i="14"/>
  <c r="M32" i="14"/>
  <c r="J31" i="14"/>
  <c r="K30" i="14"/>
  <c r="H29" i="14"/>
  <c r="H27" i="14"/>
  <c r="M26" i="14"/>
  <c r="H19" i="14"/>
  <c r="M18" i="14"/>
  <c r="O17" i="14"/>
  <c r="D17" i="14"/>
  <c r="J13" i="14"/>
  <c r="L12" i="14"/>
  <c r="J11" i="14"/>
  <c r="K10" i="14"/>
  <c r="I9" i="14"/>
  <c r="G8" i="14"/>
  <c r="H7" i="14"/>
  <c r="G6" i="14"/>
  <c r="D20" i="17"/>
  <c r="O119" i="14"/>
  <c r="I116" i="14"/>
  <c r="N107" i="14"/>
  <c r="I104" i="14"/>
  <c r="N94" i="14"/>
  <c r="L92" i="14"/>
  <c r="E90" i="14"/>
  <c r="I87" i="14"/>
  <c r="I85" i="14"/>
  <c r="F81" i="14"/>
  <c r="N77" i="14"/>
  <c r="G76" i="14"/>
  <c r="J73" i="14"/>
  <c r="H72" i="14"/>
  <c r="O71" i="14"/>
  <c r="O70" i="14"/>
  <c r="O62" i="14"/>
  <c r="I54" i="14"/>
  <c r="O52" i="14"/>
  <c r="F51" i="14"/>
  <c r="N49" i="14"/>
  <c r="E48" i="14"/>
  <c r="H46" i="14"/>
  <c r="D45" i="14"/>
  <c r="L42" i="14"/>
  <c r="M41" i="14"/>
  <c r="J40" i="14"/>
  <c r="G39" i="14"/>
  <c r="G38" i="14"/>
  <c r="D37" i="14"/>
  <c r="E36" i="14"/>
  <c r="O34" i="14"/>
  <c r="L33" i="14"/>
  <c r="L32" i="14"/>
  <c r="I31" i="14"/>
  <c r="J30" i="14"/>
  <c r="G29" i="14"/>
  <c r="G27" i="14"/>
  <c r="H26" i="14"/>
  <c r="L24" i="14"/>
  <c r="G19" i="14"/>
  <c r="I18" i="14"/>
  <c r="N17" i="14"/>
  <c r="K17" i="14"/>
  <c r="I13" i="14"/>
  <c r="K12" i="14"/>
  <c r="I11" i="14"/>
  <c r="G10" i="14"/>
  <c r="H9" i="14"/>
  <c r="F8" i="14"/>
  <c r="G7" i="14"/>
  <c r="F6" i="14"/>
  <c r="K106" i="14"/>
  <c r="M91" i="14"/>
  <c r="J88" i="14"/>
  <c r="G84" i="14"/>
  <c r="L74" i="14"/>
  <c r="M70" i="14"/>
  <c r="G67" i="14"/>
  <c r="J63" i="14"/>
  <c r="F55" i="14"/>
  <c r="D52" i="14"/>
  <c r="H49" i="14"/>
  <c r="E47" i="14"/>
  <c r="J44" i="14"/>
  <c r="F38" i="14"/>
  <c r="I36" i="14"/>
  <c r="L34" i="14"/>
  <c r="F31" i="14"/>
  <c r="E29" i="14"/>
  <c r="O27" i="14"/>
  <c r="F26" i="14"/>
  <c r="L21" i="14"/>
  <c r="K20" i="14"/>
  <c r="J19" i="14"/>
  <c r="F18" i="14"/>
  <c r="O12" i="14"/>
  <c r="G11" i="14"/>
  <c r="K9" i="14"/>
  <c r="O7" i="14"/>
  <c r="E6" i="14"/>
  <c r="H27" i="17"/>
  <c r="K22" i="17"/>
  <c r="I117" i="14"/>
  <c r="H105" i="14"/>
  <c r="O95" i="14"/>
  <c r="I91" i="14"/>
  <c r="H87" i="14"/>
  <c r="I79" i="14"/>
  <c r="O76" i="14"/>
  <c r="H74" i="14"/>
  <c r="N71" i="14"/>
  <c r="K70" i="14"/>
  <c r="L64" i="14"/>
  <c r="I63" i="14"/>
  <c r="G54" i="14"/>
  <c r="F49" i="14"/>
  <c r="D47" i="14"/>
  <c r="I44" i="14"/>
  <c r="H41" i="14"/>
  <c r="O39" i="14"/>
  <c r="O37" i="14"/>
  <c r="H36" i="14"/>
  <c r="H34" i="14"/>
  <c r="K32" i="14"/>
  <c r="N30" i="14"/>
  <c r="D29" i="14"/>
  <c r="J27" i="14"/>
  <c r="E26" i="14"/>
  <c r="K24" i="14"/>
  <c r="K21" i="14"/>
  <c r="J20" i="14"/>
  <c r="F19" i="14"/>
  <c r="E18" i="14"/>
  <c r="N12" i="14"/>
  <c r="O10" i="14"/>
  <c r="G9" i="14"/>
  <c r="K7" i="14"/>
  <c r="D6" i="14"/>
  <c r="F27" i="17"/>
  <c r="J22" i="17"/>
  <c r="F115" i="14"/>
  <c r="D110" i="14"/>
  <c r="G104" i="14"/>
  <c r="J94" i="14"/>
  <c r="G91" i="14"/>
  <c r="D87" i="14"/>
  <c r="G79" i="14"/>
  <c r="F76" i="14"/>
  <c r="F74" i="14"/>
  <c r="E71" i="14"/>
  <c r="H70" i="14"/>
  <c r="M65" i="14"/>
  <c r="K64" i="14"/>
  <c r="K63" i="14"/>
  <c r="O51" i="14"/>
  <c r="G46" i="14"/>
  <c r="G44" i="14"/>
  <c r="G41" i="14"/>
  <c r="N39" i="14"/>
  <c r="M37" i="14"/>
  <c r="M35" i="14"/>
  <c r="G34" i="14"/>
  <c r="F32" i="14"/>
  <c r="M30" i="14"/>
  <c r="F27" i="14"/>
  <c r="D26" i="14"/>
  <c r="J24" i="14"/>
  <c r="J21" i="14"/>
  <c r="I20" i="14"/>
  <c r="M19" i="14"/>
  <c r="L18" i="14"/>
  <c r="G12" i="14"/>
  <c r="N10" i="14"/>
  <c r="O8" i="14"/>
  <c r="J7" i="14"/>
  <c r="K6" i="14"/>
  <c r="L114" i="14"/>
  <c r="O106" i="14"/>
  <c r="E91" i="14"/>
  <c r="F85" i="14"/>
  <c r="E79" i="14"/>
  <c r="L75" i="14"/>
  <c r="E66" i="14"/>
  <c r="G62" i="14"/>
  <c r="O53" i="14"/>
  <c r="F50" i="14"/>
  <c r="O45" i="14"/>
  <c r="D42" i="14"/>
  <c r="L35" i="14"/>
  <c r="H33" i="14"/>
  <c r="D30" i="14"/>
  <c r="J25" i="14"/>
  <c r="L17" i="14"/>
  <c r="O13" i="14"/>
  <c r="H11" i="14"/>
  <c r="L8" i="14"/>
  <c r="D27" i="17"/>
  <c r="I114" i="14"/>
  <c r="G103" i="14"/>
  <c r="K96" i="14"/>
  <c r="O89" i="14"/>
  <c r="J84" i="14"/>
  <c r="L78" i="14"/>
  <c r="K75" i="14"/>
  <c r="D71" i="14"/>
  <c r="L69" i="14"/>
  <c r="M67" i="14"/>
  <c r="J64" i="14"/>
  <c r="E62" i="14"/>
  <c r="N53" i="14"/>
  <c r="E50" i="14"/>
  <c r="N45" i="14"/>
  <c r="F41" i="14"/>
  <c r="O38" i="14"/>
  <c r="K35" i="14"/>
  <c r="G33" i="14"/>
  <c r="E25" i="14"/>
  <c r="H17" i="14"/>
  <c r="H13" i="14"/>
  <c r="M10" i="14"/>
  <c r="E8" i="14"/>
  <c r="N5" i="14"/>
  <c r="F103" i="14"/>
  <c r="D96" i="14"/>
  <c r="J89" i="14"/>
  <c r="O82" i="14"/>
  <c r="M77" i="14"/>
  <c r="K71" i="14"/>
  <c r="K69" i="14"/>
  <c r="I64" i="14"/>
  <c r="D62" i="14"/>
  <c r="F53" i="14"/>
  <c r="O48" i="14"/>
  <c r="G45" i="14"/>
  <c r="E41" i="14"/>
  <c r="K38" i="14"/>
  <c r="J35" i="14"/>
  <c r="E32" i="14"/>
  <c r="O29" i="14"/>
  <c r="D25" i="14"/>
  <c r="O20" i="14"/>
  <c r="G17" i="14"/>
  <c r="G13" i="14"/>
  <c r="F10" i="14"/>
  <c r="D8" i="14"/>
  <c r="M5" i="14"/>
  <c r="D103" i="14"/>
  <c r="G94" i="14"/>
  <c r="O88" i="14"/>
  <c r="M82" i="14"/>
  <c r="K77" i="14"/>
  <c r="E74" i="14"/>
  <c r="F72" i="14"/>
  <c r="L65" i="14"/>
  <c r="L52" i="14"/>
  <c r="N48" i="14"/>
  <c r="O44" i="14"/>
  <c r="D41" i="14"/>
  <c r="L37" i="14"/>
  <c r="I35" i="14"/>
  <c r="D32" i="14"/>
  <c r="M29" i="14"/>
  <c r="O18" i="14"/>
  <c r="F17" i="14"/>
  <c r="F13" i="14"/>
  <c r="E10" i="14"/>
  <c r="F5" i="14"/>
  <c r="N85" i="14"/>
  <c r="M75" i="14"/>
  <c r="N50" i="14"/>
  <c r="J42" i="14"/>
  <c r="O36" i="14"/>
  <c r="G31" i="14"/>
  <c r="G26" i="14"/>
  <c r="O19" i="14"/>
  <c r="M16" i="14"/>
  <c r="F12" i="14"/>
  <c r="O6" i="14"/>
  <c r="E94" i="14"/>
  <c r="G82" i="14"/>
  <c r="E72" i="14"/>
  <c r="M63" i="14"/>
  <c r="M50" i="14"/>
  <c r="I42" i="14"/>
  <c r="N36" i="14"/>
  <c r="E30" i="14"/>
  <c r="N19" i="14"/>
  <c r="L16" i="14"/>
  <c r="E12" i="14"/>
  <c r="N6" i="14"/>
  <c r="L6" i="14"/>
  <c r="N109" i="14"/>
  <c r="F93" i="14"/>
  <c r="O81" i="14"/>
  <c r="D74" i="14"/>
  <c r="G70" i="14"/>
  <c r="K65" i="14"/>
  <c r="I40" i="14"/>
  <c r="N34" i="14"/>
  <c r="K25" i="14"/>
  <c r="I21" i="14"/>
  <c r="K16" i="14"/>
  <c r="D12" i="14"/>
  <c r="M6" i="14"/>
  <c r="J119" i="14"/>
  <c r="D107" i="14"/>
  <c r="E93" i="14"/>
  <c r="K81" i="14"/>
  <c r="I65" i="14"/>
  <c r="M47" i="14"/>
  <c r="H40" i="14"/>
  <c r="F34" i="14"/>
  <c r="H21" i="14"/>
  <c r="H18" i="14"/>
  <c r="O11" i="14"/>
  <c r="H119" i="14"/>
  <c r="I73" i="14"/>
  <c r="E65" i="14"/>
  <c r="I55" i="14"/>
  <c r="H47" i="14"/>
  <c r="F39" i="14"/>
  <c r="K33" i="14"/>
  <c r="I24" i="14"/>
  <c r="G18" i="14"/>
  <c r="D10" i="14"/>
  <c r="F119" i="14"/>
  <c r="L88" i="14"/>
  <c r="H77" i="14"/>
  <c r="E73" i="14"/>
  <c r="K66" i="14"/>
  <c r="G55" i="14"/>
  <c r="E46" i="14"/>
  <c r="E39" i="14"/>
  <c r="I33" i="14"/>
  <c r="H24" i="14"/>
  <c r="O9" i="14"/>
  <c r="E5" i="14"/>
  <c r="H22" i="17"/>
  <c r="M86" i="14"/>
  <c r="H66" i="14"/>
  <c r="G52" i="14"/>
  <c r="F44" i="14"/>
  <c r="K37" i="14"/>
  <c r="D24" i="14"/>
  <c r="M17" i="14"/>
  <c r="N8" i="14"/>
  <c r="D5" i="14"/>
  <c r="L86" i="14"/>
  <c r="G66" i="14"/>
  <c r="D51" i="14"/>
  <c r="K42" i="14"/>
  <c r="H31" i="14"/>
  <c r="O26" i="14"/>
  <c r="M8" i="14"/>
  <c r="I1" i="20" l="1"/>
  <c r="A18" i="17"/>
  <c r="A32" i="17"/>
  <c r="A9" i="17"/>
  <c r="A28" i="17"/>
  <c r="A7" i="17"/>
  <c r="A10" i="17"/>
  <c r="A11" i="17"/>
  <c r="A30" i="17"/>
  <c r="A31" i="17"/>
  <c r="P51" i="14"/>
  <c r="D4" i="14"/>
  <c r="P24" i="14"/>
  <c r="E4" i="14"/>
  <c r="P107" i="14"/>
  <c r="P12" i="14"/>
  <c r="F4" i="14"/>
  <c r="P32" i="14"/>
  <c r="P41" i="14"/>
  <c r="P103" i="14"/>
  <c r="M4" i="14"/>
  <c r="P96" i="14"/>
  <c r="N4" i="14"/>
  <c r="P71" i="14"/>
  <c r="P30" i="14"/>
  <c r="P42" i="14"/>
  <c r="P87" i="14"/>
  <c r="P110" i="14"/>
  <c r="P6" i="14"/>
  <c r="P29" i="14"/>
  <c r="P47" i="14"/>
  <c r="P52" i="14"/>
  <c r="P37" i="14"/>
  <c r="P45" i="14"/>
  <c r="P17" i="14"/>
  <c r="P53" i="14"/>
  <c r="P105" i="14"/>
  <c r="P34" i="14"/>
  <c r="P35" i="14"/>
  <c r="P50" i="14"/>
  <c r="P93" i="14"/>
  <c r="L101" i="14"/>
  <c r="H112" i="14"/>
  <c r="P33" i="14"/>
  <c r="P40" i="14"/>
  <c r="P82" i="14"/>
  <c r="P95" i="14"/>
  <c r="K101" i="14"/>
  <c r="M112" i="14"/>
  <c r="P13" i="14"/>
  <c r="P27" i="14"/>
  <c r="P38" i="14"/>
  <c r="E101" i="14"/>
  <c r="O112" i="14"/>
  <c r="P36" i="14"/>
  <c r="P44" i="14"/>
  <c r="P88" i="14"/>
  <c r="P91" i="14"/>
  <c r="H101" i="14"/>
  <c r="P49" i="14"/>
  <c r="P54" i="14"/>
  <c r="I101" i="14"/>
  <c r="P46" i="14"/>
  <c r="P79" i="14"/>
  <c r="P84" i="14"/>
  <c r="P86" i="14"/>
  <c r="J101" i="14"/>
  <c r="P109" i="14"/>
  <c r="P31" i="14"/>
  <c r="P39" i="14"/>
  <c r="P48" i="14"/>
  <c r="P55" i="14"/>
  <c r="P76" i="14"/>
  <c r="P90" i="14"/>
  <c r="M101" i="14"/>
  <c r="P78" i="14"/>
  <c r="P94" i="14"/>
  <c r="P102" i="14"/>
  <c r="D101" i="14"/>
  <c r="N101" i="14"/>
  <c r="P85" i="14"/>
  <c r="P92" i="14"/>
  <c r="F101" i="14"/>
  <c r="P115" i="14"/>
  <c r="P117" i="14"/>
  <c r="P118" i="14"/>
  <c r="P119" i="14"/>
  <c r="G101" i="14"/>
  <c r="O101" i="14"/>
  <c r="P104" i="14"/>
  <c r="P106" i="14"/>
  <c r="P83" i="14"/>
  <c r="P89" i="14"/>
  <c r="P108" i="14"/>
  <c r="P116" i="14"/>
  <c r="C89" i="20"/>
  <c r="C90" i="20" s="1"/>
  <c r="C55" i="20"/>
  <c r="K89" i="20"/>
  <c r="K90" i="20" s="1"/>
  <c r="K55" i="20"/>
  <c r="W70" i="14"/>
  <c r="D137" i="14"/>
  <c r="F55" i="20"/>
  <c r="F89" i="20"/>
  <c r="F90" i="20" s="1"/>
  <c r="G55" i="20"/>
  <c r="G89" i="20"/>
  <c r="G90" i="20" s="1"/>
  <c r="M11" i="20"/>
  <c r="M57" i="20"/>
  <c r="I89" i="20"/>
  <c r="I90" i="20" s="1"/>
  <c r="I55" i="20"/>
  <c r="J89" i="20"/>
  <c r="J90" i="20" s="1"/>
  <c r="J55" i="20"/>
  <c r="E1" i="20"/>
  <c r="D89" i="20"/>
  <c r="D90" i="20" s="1"/>
  <c r="F1" i="20"/>
  <c r="M107" i="20"/>
  <c r="A8" i="17"/>
  <c r="A19" i="17"/>
  <c r="A29" i="17"/>
  <c r="G1" i="20"/>
  <c r="M2" i="20"/>
  <c r="M54" i="20" s="1"/>
  <c r="H1" i="20"/>
  <c r="C1" i="20"/>
  <c r="J1" i="20"/>
  <c r="A12" i="17"/>
  <c r="A23" i="17"/>
  <c r="A33" i="17"/>
  <c r="K1" i="20"/>
  <c r="D1" i="20"/>
  <c r="B30" i="17"/>
  <c r="L30" i="17"/>
  <c r="D30" i="17"/>
  <c r="H18" i="17"/>
  <c r="J18" i="17"/>
  <c r="K18" i="17"/>
  <c r="F31" i="17"/>
  <c r="H31" i="17"/>
  <c r="D31" i="17"/>
  <c r="G31" i="17"/>
  <c r="L31" i="17"/>
  <c r="B32" i="17"/>
  <c r="D32" i="17"/>
  <c r="H32" i="17"/>
  <c r="J32" i="17"/>
  <c r="L32" i="17"/>
  <c r="L9" i="17"/>
  <c r="B9" i="17"/>
  <c r="C9" i="17"/>
  <c r="D9" i="17"/>
  <c r="B28" i="17"/>
  <c r="J28" i="17"/>
  <c r="K28" i="17"/>
  <c r="D28" i="17"/>
  <c r="H28" i="17"/>
  <c r="L28" i="17"/>
  <c r="B7" i="17"/>
  <c r="K7" i="17"/>
  <c r="D7" i="17"/>
  <c r="J7" i="17"/>
  <c r="L7" i="17"/>
  <c r="C7" i="17"/>
  <c r="L10" i="17"/>
  <c r="G10" i="17"/>
  <c r="H10" i="17"/>
  <c r="F10" i="17"/>
  <c r="L11" i="17"/>
  <c r="B11" i="17"/>
  <c r="D11" i="17"/>
  <c r="J11" i="17"/>
  <c r="K11" i="17"/>
  <c r="J61" i="14"/>
  <c r="O25" i="14"/>
  <c r="E68" i="14"/>
  <c r="N64" i="14"/>
  <c r="G77" i="14"/>
  <c r="H75" i="14"/>
  <c r="I18" i="17"/>
  <c r="C21" i="17"/>
  <c r="N67" i="14"/>
  <c r="M6" i="17"/>
  <c r="N70" i="14"/>
  <c r="M9" i="17"/>
  <c r="F7" i="17"/>
  <c r="F20" i="17"/>
  <c r="C31" i="17"/>
  <c r="H61" i="14"/>
  <c r="G5" i="14"/>
  <c r="G69" i="14"/>
  <c r="M68" i="14"/>
  <c r="F21" i="14"/>
  <c r="J65" i="14"/>
  <c r="D18" i="14"/>
  <c r="E81" i="14"/>
  <c r="M73" i="14"/>
  <c r="K27" i="17"/>
  <c r="J113" i="14"/>
  <c r="E63" i="14"/>
  <c r="O74" i="14"/>
  <c r="E30" i="17"/>
  <c r="M32" i="17"/>
  <c r="E17" i="17"/>
  <c r="M20" i="17"/>
  <c r="H7" i="17"/>
  <c r="C28" i="17"/>
  <c r="H28" i="14"/>
  <c r="F25" i="14"/>
  <c r="E20" i="14"/>
  <c r="F64" i="14"/>
  <c r="F77" i="14"/>
  <c r="I75" i="14"/>
  <c r="G18" i="17"/>
  <c r="H21" i="17"/>
  <c r="F67" i="14"/>
  <c r="E6" i="17"/>
  <c r="F70" i="14"/>
  <c r="E9" i="17"/>
  <c r="F11" i="17"/>
  <c r="M7" i="17"/>
  <c r="J10" i="17"/>
  <c r="I28" i="17"/>
  <c r="D22" i="17"/>
  <c r="G28" i="14"/>
  <c r="J16" i="14"/>
  <c r="G61" i="14"/>
  <c r="D61" i="14"/>
  <c r="L5" i="14"/>
  <c r="N25" i="14"/>
  <c r="I69" i="14"/>
  <c r="L20" i="14"/>
  <c r="D68" i="14"/>
  <c r="M21" i="14"/>
  <c r="H64" i="14"/>
  <c r="H65" i="14"/>
  <c r="E19" i="14"/>
  <c r="F75" i="14"/>
  <c r="D81" i="14"/>
  <c r="D18" i="17"/>
  <c r="J21" i="17"/>
  <c r="G21" i="17"/>
  <c r="C27" i="17"/>
  <c r="L67" i="14"/>
  <c r="I113" i="14"/>
  <c r="K6" i="17"/>
  <c r="O63" i="14"/>
  <c r="L70" i="14"/>
  <c r="G74" i="14"/>
  <c r="I9" i="17"/>
  <c r="I30" i="17"/>
  <c r="M11" i="17"/>
  <c r="E32" i="17"/>
  <c r="E7" i="17"/>
  <c r="K17" i="17"/>
  <c r="B10" i="17"/>
  <c r="E20" i="17"/>
  <c r="G28" i="17"/>
  <c r="D10" i="17"/>
  <c r="J31" i="17"/>
  <c r="F61" i="14"/>
  <c r="G25" i="14"/>
  <c r="O68" i="14"/>
  <c r="G21" i="14"/>
  <c r="K19" i="14"/>
  <c r="N65" i="14"/>
  <c r="J75" i="14"/>
  <c r="N73" i="14"/>
  <c r="K21" i="17"/>
  <c r="L113" i="14"/>
  <c r="F62" i="14"/>
  <c r="G73" i="14"/>
  <c r="F30" i="17"/>
  <c r="C11" i="17"/>
  <c r="I17" i="17"/>
  <c r="C10" i="17"/>
  <c r="G114" i="14"/>
  <c r="K31" i="17"/>
  <c r="D28" i="14"/>
  <c r="N28" i="14"/>
  <c r="O28" i="14"/>
  <c r="M28" i="14"/>
  <c r="I16" i="14"/>
  <c r="D16" i="14"/>
  <c r="O61" i="14"/>
  <c r="K5" i="14"/>
  <c r="M25" i="14"/>
  <c r="E69" i="14"/>
  <c r="D20" i="14"/>
  <c r="J68" i="14"/>
  <c r="E21" i="14"/>
  <c r="H20" i="14"/>
  <c r="O64" i="14"/>
  <c r="G65" i="14"/>
  <c r="L26" i="14"/>
  <c r="O75" i="14"/>
  <c r="M81" i="14"/>
  <c r="B18" i="17"/>
  <c r="B21" i="17"/>
  <c r="F21" i="17"/>
  <c r="L27" i="17"/>
  <c r="D73" i="14"/>
  <c r="G113" i="14"/>
  <c r="C6" i="17"/>
  <c r="N66" i="14"/>
  <c r="I72" i="14"/>
  <c r="M74" i="14"/>
  <c r="G9" i="17"/>
  <c r="G30" i="17"/>
  <c r="E11" i="17"/>
  <c r="I32" i="17"/>
  <c r="I7" i="17"/>
  <c r="C17" i="17"/>
  <c r="I10" i="17"/>
  <c r="I20" i="17"/>
  <c r="F22" i="17"/>
  <c r="B31" i="17"/>
  <c r="H16" i="14"/>
  <c r="M61" i="14"/>
  <c r="J5" i="14"/>
  <c r="D69" i="14"/>
  <c r="N68" i="14"/>
  <c r="D21" i="14"/>
  <c r="E64" i="14"/>
  <c r="L77" i="14"/>
  <c r="G64" i="14"/>
  <c r="L81" i="14"/>
  <c r="I21" i="17"/>
  <c r="J27" i="17"/>
  <c r="O73" i="14"/>
  <c r="D6" i="17"/>
  <c r="O72" i="14"/>
  <c r="K9" i="17"/>
  <c r="I11" i="17"/>
  <c r="G32" i="17"/>
  <c r="H17" i="17"/>
  <c r="M10" i="17"/>
  <c r="M22" i="17"/>
  <c r="J28" i="14"/>
  <c r="G16" i="14"/>
  <c r="L61" i="14"/>
  <c r="N69" i="14"/>
  <c r="G68" i="14"/>
  <c r="M64" i="14"/>
  <c r="E77" i="14"/>
  <c r="C18" i="17"/>
  <c r="B27" i="17"/>
  <c r="N113" i="14"/>
  <c r="L6" i="17"/>
  <c r="G72" i="14"/>
  <c r="H9" i="17"/>
  <c r="G11" i="17"/>
  <c r="J17" i="17"/>
  <c r="E10" i="17"/>
  <c r="E22" i="17"/>
  <c r="I28" i="14"/>
  <c r="K18" i="14"/>
  <c r="D64" i="14"/>
  <c r="J77" i="14"/>
  <c r="J81" i="14"/>
  <c r="M18" i="17"/>
  <c r="H73" i="14"/>
  <c r="E21" i="17"/>
  <c r="I27" i="17"/>
  <c r="F63" i="14"/>
  <c r="F113" i="14"/>
  <c r="B6" i="17"/>
  <c r="N62" i="14"/>
  <c r="F28" i="14"/>
  <c r="L25" i="14"/>
  <c r="I68" i="14"/>
  <c r="K68" i="14"/>
  <c r="E75" i="14"/>
  <c r="L18" i="17"/>
  <c r="G27" i="17"/>
  <c r="E113" i="14"/>
  <c r="F66" i="14"/>
  <c r="K113" i="14"/>
  <c r="K30" i="17"/>
  <c r="G7" i="17"/>
  <c r="G20" i="17"/>
  <c r="I31" i="17"/>
  <c r="K28" i="14"/>
  <c r="I25" i="14"/>
  <c r="O69" i="14"/>
  <c r="F68" i="14"/>
  <c r="G20" i="14"/>
  <c r="L68" i="14"/>
  <c r="D77" i="14"/>
  <c r="D65" i="14"/>
  <c r="F18" i="17"/>
  <c r="M21" i="17"/>
  <c r="N63" i="14"/>
  <c r="J6" i="17"/>
  <c r="L66" i="14"/>
  <c r="H30" i="17"/>
  <c r="C32" i="17"/>
  <c r="J20" i="17"/>
  <c r="M31" i="17"/>
  <c r="F16" i="14"/>
  <c r="N61" i="14"/>
  <c r="I5" i="14"/>
  <c r="M69" i="14"/>
  <c r="N20" i="14"/>
  <c r="J18" i="14"/>
  <c r="L19" i="14"/>
  <c r="I77" i="14"/>
  <c r="G81" i="14"/>
  <c r="E18" i="17"/>
  <c r="M27" i="17"/>
  <c r="L63" i="14"/>
  <c r="I6" i="17"/>
  <c r="O67" i="14"/>
  <c r="F9" i="17"/>
  <c r="J30" i="17"/>
  <c r="K114" i="14"/>
  <c r="M28" i="17"/>
  <c r="G22" i="17"/>
  <c r="O16" i="14"/>
  <c r="E61" i="14"/>
  <c r="O5" i="14"/>
  <c r="H69" i="14"/>
  <c r="M20" i="14"/>
  <c r="N21" i="14"/>
  <c r="F65" i="14"/>
  <c r="N81" i="14"/>
  <c r="F73" i="14"/>
  <c r="E27" i="17"/>
  <c r="D113" i="14"/>
  <c r="L62" i="14"/>
  <c r="I74" i="14"/>
  <c r="M30" i="17"/>
  <c r="F32" i="17"/>
  <c r="M17" i="17"/>
  <c r="E28" i="17"/>
  <c r="L20" i="17"/>
  <c r="N16" i="14"/>
  <c r="E67" i="14"/>
  <c r="M72" i="14"/>
  <c r="D21" i="17"/>
  <c r="J9" i="17"/>
  <c r="C30" i="17"/>
  <c r="H11" i="17"/>
  <c r="K32" i="17"/>
  <c r="B17" i="17"/>
  <c r="K10" i="17"/>
  <c r="F28" i="17"/>
  <c r="I22" i="17"/>
  <c r="E31" i="17"/>
  <c r="L28" i="14"/>
  <c r="E28" i="14"/>
  <c r="E16" i="14"/>
  <c r="K61" i="14"/>
  <c r="H25" i="14"/>
  <c r="F69" i="14"/>
  <c r="H68" i="14"/>
  <c r="O21" i="14"/>
  <c r="I61" i="14"/>
  <c r="H5" i="14"/>
  <c r="J69" i="14"/>
  <c r="F20" i="14"/>
  <c r="H4" i="14" l="1"/>
  <c r="I60" i="14"/>
  <c r="K60" i="14"/>
  <c r="E15" i="14"/>
  <c r="E22" i="14" s="1"/>
  <c r="P67" i="14"/>
  <c r="N15" i="14"/>
  <c r="N22" i="14" s="1"/>
  <c r="D112" i="14"/>
  <c r="P113" i="14"/>
  <c r="M15" i="14"/>
  <c r="O4" i="14"/>
  <c r="E60" i="14"/>
  <c r="O15" i="14"/>
  <c r="L15" i="14"/>
  <c r="I4" i="14"/>
  <c r="N60" i="14"/>
  <c r="F15" i="14"/>
  <c r="F22" i="14" s="1"/>
  <c r="P65" i="14"/>
  <c r="P77" i="14"/>
  <c r="K112" i="14"/>
  <c r="P66" i="14"/>
  <c r="E112" i="14"/>
  <c r="P75" i="14"/>
  <c r="F112" i="14"/>
  <c r="P64" i="14"/>
  <c r="K15" i="14"/>
  <c r="P72" i="14"/>
  <c r="N112" i="14"/>
  <c r="L60" i="14"/>
  <c r="G15" i="14"/>
  <c r="P21" i="14"/>
  <c r="P69" i="14"/>
  <c r="J4" i="14"/>
  <c r="M60" i="14"/>
  <c r="H15" i="14"/>
  <c r="G112" i="14"/>
  <c r="P73" i="14"/>
  <c r="P26" i="14"/>
  <c r="P20" i="14"/>
  <c r="K4" i="14"/>
  <c r="O60" i="14"/>
  <c r="P16" i="14"/>
  <c r="D15" i="14"/>
  <c r="I15" i="14"/>
  <c r="P28" i="14"/>
  <c r="P114" i="14"/>
  <c r="P62" i="14"/>
  <c r="L112" i="14"/>
  <c r="F60" i="14"/>
  <c r="P74" i="14"/>
  <c r="I112" i="14"/>
  <c r="P81" i="14"/>
  <c r="P19" i="14"/>
  <c r="P68" i="14"/>
  <c r="L4" i="14"/>
  <c r="P61" i="14"/>
  <c r="D60" i="14"/>
  <c r="G60" i="14"/>
  <c r="J15" i="14"/>
  <c r="P70" i="14"/>
  <c r="P25" i="14"/>
  <c r="P63" i="14"/>
  <c r="J112" i="14"/>
  <c r="P18" i="14"/>
  <c r="G4" i="14"/>
  <c r="P4" i="14" s="1"/>
  <c r="P5" i="14"/>
  <c r="H60" i="14"/>
  <c r="J60" i="14"/>
  <c r="M55" i="20"/>
  <c r="M89" i="20"/>
  <c r="P101" i="14"/>
  <c r="M22" i="14"/>
  <c r="D22" i="14"/>
  <c r="B29" i="17"/>
  <c r="H29" i="17"/>
  <c r="K19" i="17"/>
  <c r="E8" i="17"/>
  <c r="H19" i="17"/>
  <c r="I29" i="17"/>
  <c r="F29" i="17"/>
  <c r="C19" i="17"/>
  <c r="K8" i="17"/>
  <c r="M29" i="17"/>
  <c r="L29" i="17"/>
  <c r="E29" i="17"/>
  <c r="J19" i="17"/>
  <c r="F19" i="17"/>
  <c r="L8" i="17"/>
  <c r="K29" i="17"/>
  <c r="B19" i="17"/>
  <c r="G19" i="17"/>
  <c r="J8" i="17"/>
  <c r="G8" i="17"/>
  <c r="C29" i="17"/>
  <c r="I19" i="17"/>
  <c r="D19" i="17"/>
  <c r="B8" i="17"/>
  <c r="D8" i="17"/>
  <c r="G29" i="17"/>
  <c r="M19" i="17"/>
  <c r="L19" i="17"/>
  <c r="I8" i="17"/>
  <c r="F8" i="17"/>
  <c r="C8" i="17"/>
  <c r="J29" i="17"/>
  <c r="D29" i="17"/>
  <c r="E19" i="17"/>
  <c r="M8" i="17"/>
  <c r="H8" i="17"/>
  <c r="Q24" i="14" l="1"/>
  <c r="Q83" i="14"/>
  <c r="G22" i="14"/>
  <c r="P60" i="14"/>
  <c r="Q60" i="14" s="1"/>
  <c r="J22" i="14"/>
  <c r="Q64" i="14"/>
  <c r="F14" i="14"/>
  <c r="F57" i="14" s="1"/>
  <c r="Q113" i="14"/>
  <c r="F23" i="14"/>
  <c r="Q18" i="14"/>
  <c r="Q61" i="14"/>
  <c r="K22" i="14"/>
  <c r="Q69" i="14"/>
  <c r="P112" i="14"/>
  <c r="Q112" i="14" s="1"/>
  <c r="S81" i="14"/>
  <c r="S83" i="14"/>
  <c r="S82" i="14"/>
  <c r="C157" i="20"/>
  <c r="C91" i="20"/>
  <c r="M90" i="20"/>
  <c r="L22" i="14"/>
  <c r="Q62" i="14"/>
  <c r="Q20" i="14"/>
  <c r="Q21" i="14"/>
  <c r="Q75" i="14"/>
  <c r="I22" i="14"/>
  <c r="N14" i="14"/>
  <c r="N57" i="14" s="1"/>
  <c r="D23" i="14"/>
  <c r="Q102" i="14"/>
  <c r="Q17" i="14"/>
  <c r="Q82" i="14"/>
  <c r="Q63" i="14"/>
  <c r="Q68" i="14"/>
  <c r="Q114" i="14"/>
  <c r="Q26" i="14"/>
  <c r="G14" i="14"/>
  <c r="G57" i="14" s="1"/>
  <c r="L14" i="14"/>
  <c r="L57" i="14" s="1"/>
  <c r="Q67" i="14"/>
  <c r="N23" i="14"/>
  <c r="Q13" i="14"/>
  <c r="Q25" i="14"/>
  <c r="Q19" i="14"/>
  <c r="Q28" i="14"/>
  <c r="Q73" i="14"/>
  <c r="Q66" i="14"/>
  <c r="O14" i="14"/>
  <c r="O57" i="14" s="1"/>
  <c r="E14" i="14"/>
  <c r="E57" i="14" s="1"/>
  <c r="Q70" i="14"/>
  <c r="Q81" i="14"/>
  <c r="I14" i="14"/>
  <c r="I57" i="14" s="1"/>
  <c r="E23" i="14"/>
  <c r="Q27" i="14"/>
  <c r="Q71" i="14"/>
  <c r="J14" i="14"/>
  <c r="J57" i="14" s="1"/>
  <c r="P15" i="14"/>
  <c r="P22" i="14" s="1"/>
  <c r="P23" i="14" s="1"/>
  <c r="D14" i="14"/>
  <c r="D57" i="14" s="1"/>
  <c r="H14" i="14"/>
  <c r="H57" i="14" s="1"/>
  <c r="Q72" i="14"/>
  <c r="Q77" i="14"/>
  <c r="O22" i="14"/>
  <c r="M23" i="14"/>
  <c r="Q76" i="14"/>
  <c r="Q74" i="14"/>
  <c r="Q16" i="14"/>
  <c r="K14" i="14"/>
  <c r="K57" i="14" s="1"/>
  <c r="Q65" i="14"/>
  <c r="M14" i="14"/>
  <c r="M57" i="14" s="1"/>
  <c r="H22" i="14"/>
  <c r="P3" i="14" l="1"/>
  <c r="I98" i="14"/>
  <c r="I58" i="14"/>
  <c r="I3" i="14" s="1"/>
  <c r="J98" i="14"/>
  <c r="J58" i="14"/>
  <c r="J3" i="14" s="1"/>
  <c r="O58" i="14"/>
  <c r="O3" i="14" s="1"/>
  <c r="O98" i="14"/>
  <c r="K98" i="14"/>
  <c r="K58" i="14"/>
  <c r="K3" i="14" s="1"/>
  <c r="L98" i="14"/>
  <c r="L58" i="14"/>
  <c r="L3" i="14" s="1"/>
  <c r="H98" i="14"/>
  <c r="H58" i="14"/>
  <c r="H3" i="14" s="1"/>
  <c r="G58" i="14"/>
  <c r="G3" i="14" s="1"/>
  <c r="G98" i="14"/>
  <c r="G23" i="14"/>
  <c r="C158" i="20"/>
  <c r="C178" i="20"/>
  <c r="C179" i="20" s="1"/>
  <c r="D98" i="14"/>
  <c r="D58" i="14"/>
  <c r="D3" i="14" s="1"/>
  <c r="P57" i="14"/>
  <c r="Q15" i="14"/>
  <c r="P14" i="14"/>
  <c r="Q14" i="14" s="1"/>
  <c r="N98" i="14"/>
  <c r="N58" i="14"/>
  <c r="N3" i="14" s="1"/>
  <c r="F98" i="14"/>
  <c r="F58" i="14"/>
  <c r="F3" i="14" s="1"/>
  <c r="L23" i="14"/>
  <c r="I23" i="14"/>
  <c r="J23" i="14"/>
  <c r="M98" i="14"/>
  <c r="M58" i="14"/>
  <c r="M3" i="14" s="1"/>
  <c r="O23" i="14"/>
  <c r="K23" i="14"/>
  <c r="H23" i="14"/>
  <c r="E98" i="14"/>
  <c r="E58" i="14"/>
  <c r="E3" i="14" s="1"/>
  <c r="D122" i="14" l="1"/>
  <c r="P98" i="14"/>
  <c r="D99" i="14"/>
  <c r="G122" i="14"/>
  <c r="G99" i="14"/>
  <c r="N122" i="14"/>
  <c r="N99" i="14"/>
  <c r="L122" i="14"/>
  <c r="L99" i="14"/>
  <c r="E122" i="14"/>
  <c r="E99" i="14"/>
  <c r="J122" i="14"/>
  <c r="J99" i="14"/>
  <c r="M122" i="14"/>
  <c r="M99" i="14"/>
  <c r="H122" i="14"/>
  <c r="H99" i="14"/>
  <c r="K99" i="14"/>
  <c r="K122" i="14"/>
  <c r="F122" i="14"/>
  <c r="F99" i="14"/>
  <c r="Q57" i="14"/>
  <c r="P58" i="14"/>
  <c r="I122" i="14"/>
  <c r="I99" i="14"/>
  <c r="O99" i="14"/>
  <c r="O122" i="14"/>
  <c r="D123" i="14" l="1"/>
  <c r="D130" i="14"/>
  <c r="D129" i="14"/>
  <c r="D125" i="14"/>
  <c r="E125" i="14" s="1"/>
  <c r="H123" i="14"/>
  <c r="H129" i="14"/>
  <c r="H130" i="14"/>
  <c r="E130" i="14"/>
  <c r="E129" i="14"/>
  <c r="E123" i="14"/>
  <c r="N123" i="14"/>
  <c r="N129" i="14"/>
  <c r="N130" i="14"/>
  <c r="I129" i="14"/>
  <c r="I130" i="14"/>
  <c r="I123" i="14"/>
  <c r="M130" i="14"/>
  <c r="M123" i="14"/>
  <c r="M129" i="14"/>
  <c r="G129" i="14"/>
  <c r="G130" i="14"/>
  <c r="G123" i="14"/>
  <c r="Q122" i="14"/>
  <c r="P122" i="14"/>
  <c r="P123" i="14" s="1"/>
  <c r="O129" i="14"/>
  <c r="O130" i="14"/>
  <c r="O123" i="14"/>
  <c r="L123" i="14"/>
  <c r="L130" i="14"/>
  <c r="L129" i="14"/>
  <c r="K129" i="14"/>
  <c r="K130" i="14"/>
  <c r="K123" i="14"/>
  <c r="F123" i="14"/>
  <c r="F130" i="14"/>
  <c r="F129" i="14"/>
  <c r="J130" i="14"/>
  <c r="J123" i="14"/>
  <c r="J129" i="14"/>
  <c r="Q98" i="14"/>
  <c r="P99" i="14"/>
  <c r="F125" i="14" l="1"/>
  <c r="E128" i="14"/>
  <c r="L141" i="14"/>
  <c r="D141" i="14"/>
  <c r="D139" i="14" s="1"/>
  <c r="D127" i="14"/>
  <c r="P127" i="14" s="1"/>
  <c r="J141" i="14"/>
  <c r="M141" i="14"/>
  <c r="K141" i="14"/>
  <c r="P129" i="14"/>
  <c r="E141" i="14"/>
  <c r="O141" i="14"/>
  <c r="I141" i="14"/>
  <c r="H141" i="14"/>
  <c r="G141" i="14"/>
  <c r="F141" i="14"/>
  <c r="N141" i="14"/>
  <c r="M142" i="14"/>
  <c r="I142" i="14"/>
  <c r="O142" i="14"/>
  <c r="K142" i="14"/>
  <c r="H142" i="14"/>
  <c r="F142" i="14"/>
  <c r="D142" i="14"/>
  <c r="P130" i="14"/>
  <c r="Q130" i="14" s="1"/>
  <c r="N142" i="14"/>
  <c r="L142" i="14"/>
  <c r="J142" i="14"/>
  <c r="G142" i="14"/>
  <c r="E142" i="14"/>
  <c r="P128" i="14" l="1"/>
  <c r="Q128" i="14" s="1"/>
  <c r="E133" i="14"/>
  <c r="O140" i="14" s="1"/>
  <c r="O139" i="14" s="1"/>
  <c r="E127" i="14"/>
  <c r="Q129" i="14"/>
  <c r="F128" i="14"/>
  <c r="G125" i="14"/>
  <c r="F127" i="14" l="1"/>
  <c r="F133" i="14"/>
  <c r="F132" i="14" s="1"/>
  <c r="E132" i="14"/>
  <c r="P133" i="14"/>
  <c r="L140" i="14"/>
  <c r="L139" i="14" s="1"/>
  <c r="H140" i="14"/>
  <c r="H139" i="14" s="1"/>
  <c r="M140" i="14"/>
  <c r="M139" i="14" s="1"/>
  <c r="E140" i="14"/>
  <c r="E139" i="14" s="1"/>
  <c r="G140" i="14"/>
  <c r="G139" i="14" s="1"/>
  <c r="F140" i="14"/>
  <c r="F139" i="14" s="1"/>
  <c r="J140" i="14"/>
  <c r="J139" i="14" s="1"/>
  <c r="I140" i="14"/>
  <c r="I139" i="14" s="1"/>
  <c r="H125" i="14"/>
  <c r="G128" i="14"/>
  <c r="N140" i="14"/>
  <c r="N139" i="14" s="1"/>
  <c r="K140" i="14"/>
  <c r="K139" i="14" s="1"/>
  <c r="G133" i="14" l="1"/>
  <c r="G132" i="14" s="1"/>
  <c r="G127" i="14"/>
  <c r="H128" i="14"/>
  <c r="I125" i="14"/>
  <c r="P132" i="14"/>
  <c r="E137" i="14"/>
  <c r="F137" i="14" s="1"/>
  <c r="G137" i="14" s="1"/>
  <c r="I128" i="14" l="1"/>
  <c r="J125" i="14"/>
  <c r="H127" i="14"/>
  <c r="H133" i="14"/>
  <c r="H132" i="14" s="1"/>
  <c r="H137" i="14" s="1"/>
  <c r="I133" i="14" l="1"/>
  <c r="I132" i="14" s="1"/>
  <c r="I137" i="14" s="1"/>
  <c r="I127" i="14"/>
  <c r="J128" i="14"/>
  <c r="K125" i="14"/>
  <c r="L125" i="14" l="1"/>
  <c r="K128" i="14"/>
  <c r="J127" i="14"/>
  <c r="J133" i="14"/>
  <c r="J132" i="14" s="1"/>
  <c r="J137" i="14" s="1"/>
  <c r="K133" i="14" l="1"/>
  <c r="K132" i="14" s="1"/>
  <c r="K137" i="14" s="1"/>
  <c r="K127" i="14"/>
  <c r="L128" i="14"/>
  <c r="M125" i="14"/>
  <c r="M128" i="14" l="1"/>
  <c r="N125" i="14"/>
  <c r="L127" i="14"/>
  <c r="L133" i="14"/>
  <c r="L132" i="14" s="1"/>
  <c r="L137" i="14" s="1"/>
  <c r="N128" i="14" l="1"/>
  <c r="O125" i="14"/>
  <c r="M127" i="14"/>
  <c r="M133" i="14"/>
  <c r="M132" i="14" s="1"/>
  <c r="M137" i="14" s="1"/>
  <c r="O128" i="14" l="1"/>
  <c r="P125" i="14"/>
  <c r="N127" i="14"/>
  <c r="N133" i="14"/>
  <c r="N132" i="14" s="1"/>
  <c r="N137" i="14"/>
  <c r="O133" i="14" l="1"/>
  <c r="O132" i="14" s="1"/>
  <c r="O127" i="14"/>
  <c r="O137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35" authorId="0" shapeId="0" xr:uid="{00000000-0006-0000-0D00-000001000000}">
      <text>
        <r>
          <rPr>
            <sz val="10"/>
            <color rgb="FF000000"/>
            <rFont val="Arial"/>
          </rPr>
          <t>Дашкиев</t>
        </r>
      </text>
    </comment>
  </commentList>
</comments>
</file>

<file path=xl/sharedStrings.xml><?xml version="1.0" encoding="utf-8"?>
<sst xmlns="http://schemas.openxmlformats.org/spreadsheetml/2006/main" count="119" uniqueCount="91">
  <si>
    <t>Источники</t>
  </si>
  <si>
    <t>%</t>
  </si>
  <si>
    <t>Агентское вознаграждение</t>
  </si>
  <si>
    <t>НДС</t>
  </si>
  <si>
    <t>Переменные расходы</t>
  </si>
  <si>
    <t>Отдел продаж переменные</t>
  </si>
  <si>
    <t>Маржинальная прибыль</t>
  </si>
  <si>
    <t>Маркетинг переменные</t>
  </si>
  <si>
    <t>Валовая прибыль</t>
  </si>
  <si>
    <t>Рентабельность по валовой прибыли, %</t>
  </si>
  <si>
    <t>Постоянные расходы</t>
  </si>
  <si>
    <t>Доходы ниже EBITDA</t>
  </si>
  <si>
    <t>Расходы ниже EBITDA</t>
  </si>
  <si>
    <t>Чистая прибыль</t>
  </si>
  <si>
    <t>Рентабельность по чистой прибыли, %</t>
  </si>
  <si>
    <t>Итого</t>
  </si>
  <si>
    <t>Наполнение фондов</t>
  </si>
  <si>
    <t xml:space="preserve">Ф: Резервный 25% </t>
  </si>
  <si>
    <t>Столбец "Итого"</t>
  </si>
  <si>
    <t>E</t>
  </si>
  <si>
    <t>2025 год</t>
  </si>
  <si>
    <t>год</t>
  </si>
  <si>
    <t>Точка безубыточности по ЧП</t>
  </si>
  <si>
    <t>Рент-ть по маржинальной прибыли, %</t>
  </si>
  <si>
    <t>Сергей</t>
  </si>
  <si>
    <t>Илья</t>
  </si>
  <si>
    <t>метка</t>
  </si>
  <si>
    <t>Декабрь</t>
  </si>
  <si>
    <t>ноябрь</t>
  </si>
  <si>
    <t>октябрь</t>
  </si>
  <si>
    <t>сентябрь</t>
  </si>
  <si>
    <t>август</t>
  </si>
  <si>
    <t>июль</t>
  </si>
  <si>
    <t>июнь</t>
  </si>
  <si>
    <t>май</t>
  </si>
  <si>
    <t>апрель</t>
  </si>
  <si>
    <t>март</t>
  </si>
  <si>
    <t>февраль</t>
  </si>
  <si>
    <t>январь</t>
  </si>
  <si>
    <t>Операционная прибыль</t>
  </si>
  <si>
    <t>Рен-ть по опер. прибыли, %</t>
  </si>
  <si>
    <t>Рентабельность по ЧП, %</t>
  </si>
  <si>
    <t>Чистая прибыль накопленным итогом</t>
  </si>
  <si>
    <t>Ф: Дивиденды 70%</t>
  </si>
  <si>
    <t>Ф: Корпоративы + обучения 5%</t>
  </si>
  <si>
    <t>Расходы ниже чистой прибыли из фонда</t>
  </si>
  <si>
    <t>На дивиденды</t>
  </si>
  <si>
    <t>Из резервов</t>
  </si>
  <si>
    <t>На корпоративы, обучения</t>
  </si>
  <si>
    <t>Нераспределенная прибыль</t>
  </si>
  <si>
    <t>Остаток в фонде после расхода</t>
  </si>
  <si>
    <t>Ф: Дивиденды 70% (плюс остаток сверхлим)</t>
  </si>
  <si>
    <t>Ф: Резервный 15% (лимит 15 млн)</t>
  </si>
  <si>
    <t>Ф: Корпоративы, обучения 5% (лимит 2,5 млн)</t>
  </si>
  <si>
    <t>Выручка</t>
  </si>
  <si>
    <t xml:space="preserve">Полный диапазон внутри месячного ОПИУ </t>
  </si>
  <si>
    <t>A:L</t>
  </si>
  <si>
    <t>Диапазон внутри месячного ОПИУ со списком статей</t>
  </si>
  <si>
    <t>B:B</t>
  </si>
  <si>
    <t>Диапазон внутри месячного ОПИУ где указаны направления</t>
  </si>
  <si>
    <t>A1:L1</t>
  </si>
  <si>
    <t>A1:L2</t>
  </si>
  <si>
    <t>A1:L3</t>
  </si>
  <si>
    <t>A1:L4</t>
  </si>
  <si>
    <t>A1:L5</t>
  </si>
  <si>
    <t>A1:L6</t>
  </si>
  <si>
    <t>A1:L7</t>
  </si>
  <si>
    <t>A1:L8</t>
  </si>
  <si>
    <t>A1:L9</t>
  </si>
  <si>
    <t>A1:L10</t>
  </si>
  <si>
    <t>A1:L11</t>
  </si>
  <si>
    <t>A1:L12</t>
  </si>
  <si>
    <t>Опер отчет рестарона</t>
  </si>
  <si>
    <t>Переменные</t>
  </si>
  <si>
    <t>Маржинальный доход</t>
  </si>
  <si>
    <t>Рентабельность по марже</t>
  </si>
  <si>
    <t>Общепроизводственные</t>
  </si>
  <si>
    <t>Чистая прибыль рест</t>
  </si>
  <si>
    <t>Опер отчет группы компаний</t>
  </si>
  <si>
    <t>Выручка  УК = ЧП ресторанов</t>
  </si>
  <si>
    <t>Косвенные общие</t>
  </si>
  <si>
    <t>Производственные расходы сети</t>
  </si>
  <si>
    <t>Аренда цехов / складов</t>
  </si>
  <si>
    <t>КУ цехов / складов</t>
  </si>
  <si>
    <t>Содержание цехов / складов</t>
  </si>
  <si>
    <t>Фот производственного персонала цехов</t>
  </si>
  <si>
    <t>Хоз расходы цехов</t>
  </si>
  <si>
    <t>Косвенные административные</t>
  </si>
  <si>
    <t>Косвенные коммерческие</t>
  </si>
  <si>
    <t>Рентабельность по EBITDA</t>
  </si>
  <si>
    <t>Чистая прибыль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</si>
</sst>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9" x14ac:knownFonts="1">
    <font>
      <sz val="10"/>
      <color rgb="FF000000"/>
      <name val="Arial"/>
    </font>
    <font>
      <sz val="10"/>
      <name val="Open Sans"/>
    </font>
    <font>
      <b/>
      <sz val="10"/>
      <name val="Open Sans"/>
    </font>
    <font>
      <sz val="10"/>
      <name val="Arial"/>
    </font>
    <font>
      <sz val="10"/>
      <color rgb="FF000000"/>
      <name val="Open Sans"/>
    </font>
    <font>
      <b/>
      <sz val="10"/>
      <name val="Open Sans"/>
    </font>
    <font>
      <b/>
      <sz val="11"/>
      <color rgb="FF000000"/>
      <name val="Open Sans"/>
    </font>
    <font>
      <sz val="10"/>
      <name val="Open Sans"/>
    </font>
    <font>
      <b/>
      <sz val="10"/>
      <color rgb="FF000000"/>
      <name val="Open Sans"/>
    </font>
    <font>
      <sz val="10"/>
      <color rgb="FF434343"/>
      <name val="Open Sans"/>
    </font>
    <font>
      <i/>
      <sz val="10"/>
      <name val="Open Sans"/>
    </font>
    <font>
      <sz val="11"/>
      <color rgb="FFFFFFFF"/>
      <name val="Open Sans"/>
    </font>
    <font>
      <sz val="11"/>
      <color rgb="FF000000"/>
      <name val="Open Sans"/>
    </font>
    <font>
      <b/>
      <sz val="10"/>
      <color rgb="FFFFE599"/>
      <name val="Open Sans"/>
    </font>
    <font>
      <b/>
      <sz val="10"/>
      <color rgb="FF434343"/>
      <name val="Open Sans"/>
    </font>
    <font>
      <b/>
      <sz val="11"/>
      <color rgb="FF434343"/>
      <name val="Open Sans"/>
    </font>
    <font>
      <b/>
      <sz val="10"/>
      <color rgb="FF434343"/>
      <name val="Times New Roman"/>
    </font>
    <font>
      <sz val="10"/>
      <color rgb="FF434343"/>
      <name val="Times New Roman"/>
    </font>
    <font>
      <i/>
      <sz val="10"/>
      <name val="Open Sans"/>
    </font>
    <font>
      <sz val="11"/>
      <color rgb="FF434343"/>
      <name val="Open Sans"/>
    </font>
    <font>
      <b/>
      <sz val="10"/>
      <color rgb="FFFFFFFF"/>
      <name val="Open Sans"/>
    </font>
    <font>
      <sz val="10"/>
      <color rgb="FFFFFFFF"/>
      <name val="Open Sans"/>
    </font>
    <font>
      <b/>
      <sz val="11"/>
      <color rgb="FFFFFFFF"/>
      <name val="Open Sans"/>
    </font>
    <font>
      <b/>
      <i/>
      <sz val="10"/>
      <name val="Open Sans"/>
    </font>
    <font>
      <b/>
      <sz val="10"/>
      <name val="Times New Roman"/>
    </font>
    <font>
      <sz val="10"/>
      <color rgb="FFFFFFFF"/>
      <name val="Times New Roman"/>
    </font>
    <font>
      <b/>
      <i/>
      <sz val="10"/>
      <name val="Open Sans"/>
    </font>
    <font>
      <b/>
      <sz val="10"/>
      <name val="Arial"/>
    </font>
    <font>
      <b/>
      <i/>
      <sz val="10"/>
      <name val="Arial"/>
    </font>
    <font>
      <sz val="10"/>
      <color rgb="FF000000"/>
      <name val="Arial"/>
    </font>
    <font>
      <sz val="10"/>
      <name val="Arial"/>
    </font>
    <font>
      <sz val="11"/>
      <color rgb="FFFFFFFF"/>
      <name val="Arial"/>
    </font>
    <font>
      <sz val="10"/>
      <color rgb="FFFFFFFF"/>
      <name val="Arial"/>
    </font>
    <font>
      <sz val="10"/>
      <color rgb="FFFF0000"/>
      <name val="Arial"/>
    </font>
    <font>
      <sz val="11"/>
      <color rgb="FF000000"/>
      <name val="Inconsolata"/>
    </font>
    <font>
      <sz val="10"/>
      <color rgb="FF000000"/>
      <name val="Arial"/>
    </font>
    <font>
      <i/>
      <sz val="10"/>
      <name val="Arial"/>
    </font>
    <font>
      <sz val="9"/>
      <name val="Ubuntu"/>
    </font>
    <font>
      <strike/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3" xfId="0" applyFont="1" applyBorder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left" vertical="top" wrapText="1"/>
    </xf>
    <xf numFmtId="0" fontId="5" fillId="8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vertical="top" wrapText="1"/>
    </xf>
    <xf numFmtId="0" fontId="7" fillId="0" borderId="0" xfId="0" applyFont="1" applyAlignment="1">
      <alignment horizontal="center" vertical="top" wrapText="1"/>
    </xf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top" wrapText="1"/>
    </xf>
    <xf numFmtId="0" fontId="7" fillId="0" borderId="6" xfId="0" applyFont="1" applyBorder="1" applyAlignment="1">
      <alignment horizontal="right" vertical="top" wrapText="1"/>
    </xf>
    <xf numFmtId="0" fontId="5" fillId="2" borderId="0" xfId="0" applyFont="1" applyFill="1" applyAlignment="1">
      <alignment horizontal="center" vertical="top" wrapText="1"/>
    </xf>
    <xf numFmtId="0" fontId="5" fillId="10" borderId="3" xfId="0" applyFont="1" applyFill="1" applyBorder="1" applyAlignment="1">
      <alignment horizontal="center" vertical="top" wrapText="1"/>
    </xf>
    <xf numFmtId="3" fontId="5" fillId="10" borderId="3" xfId="0" applyNumberFormat="1" applyFont="1" applyFill="1" applyBorder="1" applyAlignment="1">
      <alignment horizontal="center" vertical="top" wrapText="1"/>
    </xf>
    <xf numFmtId="0" fontId="5" fillId="11" borderId="0" xfId="0" applyFont="1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3" fontId="4" fillId="2" borderId="3" xfId="0" applyNumberFormat="1" applyFont="1" applyFill="1" applyBorder="1" applyAlignment="1">
      <alignment horizontal="center"/>
    </xf>
    <xf numFmtId="3" fontId="12" fillId="2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left" wrapText="1"/>
    </xf>
    <xf numFmtId="3" fontId="8" fillId="5" borderId="3" xfId="0" applyNumberFormat="1" applyFont="1" applyFill="1" applyBorder="1" applyAlignment="1">
      <alignment horizontal="left" wrapText="1"/>
    </xf>
    <xf numFmtId="3" fontId="8" fillId="5" borderId="3" xfId="0" applyNumberFormat="1" applyFont="1" applyFill="1" applyBorder="1" applyAlignment="1">
      <alignment horizontal="center" wrapText="1"/>
    </xf>
    <xf numFmtId="9" fontId="8" fillId="5" borderId="3" xfId="0" applyNumberFormat="1" applyFont="1" applyFill="1" applyBorder="1" applyAlignment="1">
      <alignment horizontal="center" wrapText="1"/>
    </xf>
    <xf numFmtId="3" fontId="13" fillId="2" borderId="5" xfId="0" applyNumberFormat="1" applyFont="1" applyFill="1" applyBorder="1" applyAlignment="1">
      <alignment horizontal="right" wrapText="1"/>
    </xf>
    <xf numFmtId="10" fontId="13" fillId="2" borderId="0" xfId="0" applyNumberFormat="1" applyFont="1" applyFill="1" applyAlignment="1">
      <alignment horizontal="right" wrapText="1"/>
    </xf>
    <xf numFmtId="9" fontId="13" fillId="2" borderId="0" xfId="0" applyNumberFormat="1" applyFont="1" applyFill="1" applyAlignment="1">
      <alignment horizontal="right" wrapText="1"/>
    </xf>
    <xf numFmtId="3" fontId="9" fillId="2" borderId="0" xfId="0" applyNumberFormat="1" applyFont="1" applyFill="1" applyAlignment="1">
      <alignment wrapText="1"/>
    </xf>
    <xf numFmtId="3" fontId="9" fillId="0" borderId="3" xfId="0" applyNumberFormat="1" applyFont="1" applyBorder="1" applyAlignment="1">
      <alignment wrapText="1"/>
    </xf>
    <xf numFmtId="3" fontId="9" fillId="2" borderId="3" xfId="0" applyNumberFormat="1" applyFont="1" applyFill="1" applyBorder="1" applyAlignment="1">
      <alignment horizontal="center" vertical="top" wrapText="1"/>
    </xf>
    <xf numFmtId="10" fontId="4" fillId="2" borderId="3" xfId="0" applyNumberFormat="1" applyFont="1" applyFill="1" applyBorder="1" applyAlignment="1">
      <alignment horizontal="center"/>
    </xf>
    <xf numFmtId="10" fontId="12" fillId="2" borderId="5" xfId="0" applyNumberFormat="1" applyFont="1" applyFill="1" applyBorder="1" applyAlignment="1">
      <alignment horizontal="right"/>
    </xf>
    <xf numFmtId="10" fontId="1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3" fontId="14" fillId="2" borderId="3" xfId="0" applyNumberFormat="1" applyFont="1" applyFill="1" applyBorder="1" applyAlignment="1">
      <alignment horizontal="center" vertical="top" wrapText="1"/>
    </xf>
    <xf numFmtId="3" fontId="9" fillId="2" borderId="3" xfId="0" applyNumberFormat="1" applyFont="1" applyFill="1" applyBorder="1" applyAlignment="1">
      <alignment horizontal="center"/>
    </xf>
    <xf numFmtId="10" fontId="14" fillId="2" borderId="3" xfId="0" applyNumberFormat="1" applyFont="1" applyFill="1" applyBorder="1" applyAlignment="1">
      <alignment horizontal="center" vertical="top" wrapText="1"/>
    </xf>
    <xf numFmtId="10" fontId="15" fillId="2" borderId="5" xfId="0" applyNumberFormat="1" applyFont="1" applyFill="1" applyBorder="1" applyAlignment="1">
      <alignment horizontal="right" vertical="top" wrapText="1"/>
    </xf>
    <xf numFmtId="10" fontId="15" fillId="2" borderId="0" xfId="0" applyNumberFormat="1" applyFont="1" applyFill="1" applyAlignment="1">
      <alignment horizontal="right" vertical="top" wrapText="1"/>
    </xf>
    <xf numFmtId="0" fontId="8" fillId="2" borderId="0" xfId="0" applyFont="1" applyFill="1" applyAlignment="1">
      <alignment horizontal="left" vertical="top" wrapText="1"/>
    </xf>
    <xf numFmtId="0" fontId="8" fillId="3" borderId="3" xfId="0" applyFont="1" applyFill="1" applyBorder="1" applyAlignment="1">
      <alignment horizontal="left" vertical="top" wrapText="1"/>
    </xf>
    <xf numFmtId="3" fontId="8" fillId="3" borderId="3" xfId="0" applyNumberFormat="1" applyFont="1" applyFill="1" applyBorder="1" applyAlignment="1">
      <alignment horizontal="center" vertical="top" wrapText="1"/>
    </xf>
    <xf numFmtId="10" fontId="8" fillId="3" borderId="3" xfId="0" applyNumberFormat="1" applyFont="1" applyFill="1" applyBorder="1" applyAlignment="1">
      <alignment horizontal="center" vertical="top" wrapText="1"/>
    </xf>
    <xf numFmtId="10" fontId="5" fillId="2" borderId="5" xfId="0" applyNumberFormat="1" applyFont="1" applyFill="1" applyBorder="1" applyAlignment="1">
      <alignment horizontal="right" vertical="top" wrapText="1"/>
    </xf>
    <xf numFmtId="10" fontId="5" fillId="2" borderId="0" xfId="0" applyNumberFormat="1" applyFont="1" applyFill="1" applyAlignment="1">
      <alignment horizontal="right" vertical="top" wrapText="1"/>
    </xf>
    <xf numFmtId="0" fontId="8" fillId="8" borderId="3" xfId="0" applyFont="1" applyFill="1" applyBorder="1" applyAlignment="1">
      <alignment horizontal="left" vertical="top" wrapText="1"/>
    </xf>
    <xf numFmtId="3" fontId="8" fillId="8" borderId="3" xfId="0" applyNumberFormat="1" applyFont="1" applyFill="1" applyBorder="1" applyAlignment="1">
      <alignment horizontal="center" vertical="top" wrapText="1"/>
    </xf>
    <xf numFmtId="10" fontId="8" fillId="8" borderId="3" xfId="0" applyNumberFormat="1" applyFont="1" applyFill="1" applyBorder="1" applyAlignment="1">
      <alignment horizontal="center" vertical="top" wrapText="1"/>
    </xf>
    <xf numFmtId="10" fontId="9" fillId="2" borderId="3" xfId="0" applyNumberFormat="1" applyFont="1" applyFill="1" applyBorder="1" applyAlignment="1">
      <alignment horizontal="center"/>
    </xf>
    <xf numFmtId="3" fontId="16" fillId="2" borderId="0" xfId="0" applyNumberFormat="1" applyFont="1" applyFill="1" applyAlignment="1">
      <alignment horizontal="center"/>
    </xf>
    <xf numFmtId="10" fontId="17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2" borderId="0" xfId="0" applyFont="1" applyFill="1" applyAlignment="1">
      <alignment wrapText="1"/>
    </xf>
    <xf numFmtId="0" fontId="1" fillId="0" borderId="3" xfId="0" applyFont="1" applyBorder="1" applyAlignment="1">
      <alignment wrapText="1"/>
    </xf>
    <xf numFmtId="0" fontId="1" fillId="2" borderId="3" xfId="0" applyFont="1" applyFill="1" applyBorder="1" applyAlignment="1">
      <alignment horizontal="left" vertical="top" wrapText="1"/>
    </xf>
    <xf numFmtId="3" fontId="2" fillId="2" borderId="3" xfId="0" applyNumberFormat="1" applyFont="1" applyFill="1" applyBorder="1" applyAlignment="1">
      <alignment horizontal="center" vertical="top" wrapText="1"/>
    </xf>
    <xf numFmtId="0" fontId="8" fillId="2" borderId="0" xfId="0" applyFont="1" applyFill="1" applyAlignment="1">
      <alignment wrapText="1"/>
    </xf>
    <xf numFmtId="0" fontId="8" fillId="6" borderId="3" xfId="0" applyFont="1" applyFill="1" applyBorder="1" applyAlignment="1">
      <alignment wrapText="1"/>
    </xf>
    <xf numFmtId="3" fontId="2" fillId="6" borderId="3" xfId="0" applyNumberFormat="1" applyFont="1" applyFill="1" applyBorder="1" applyAlignment="1">
      <alignment horizontal="center" vertical="top" wrapText="1"/>
    </xf>
    <xf numFmtId="3" fontId="14" fillId="6" borderId="3" xfId="0" applyNumberFormat="1" applyFont="1" applyFill="1" applyBorder="1" applyAlignment="1">
      <alignment horizontal="center"/>
    </xf>
    <xf numFmtId="3" fontId="8" fillId="6" borderId="3" xfId="0" applyNumberFormat="1" applyFont="1" applyFill="1" applyBorder="1" applyAlignment="1">
      <alignment horizontal="center"/>
    </xf>
    <xf numFmtId="10" fontId="9" fillId="6" borderId="3" xfId="0" applyNumberFormat="1" applyFont="1" applyFill="1" applyBorder="1" applyAlignment="1">
      <alignment horizontal="center"/>
    </xf>
    <xf numFmtId="0" fontId="18" fillId="2" borderId="0" xfId="0" applyFont="1" applyFill="1" applyAlignment="1">
      <alignment vertical="top" wrapText="1"/>
    </xf>
    <xf numFmtId="0" fontId="18" fillId="0" borderId="3" xfId="0" applyFont="1" applyBorder="1" applyAlignment="1">
      <alignment vertical="top" wrapText="1"/>
    </xf>
    <xf numFmtId="3" fontId="14" fillId="8" borderId="3" xfId="0" applyNumberFormat="1" applyFont="1" applyFill="1" applyBorder="1" applyAlignment="1">
      <alignment horizontal="center"/>
    </xf>
    <xf numFmtId="10" fontId="14" fillId="8" borderId="3" xfId="0" applyNumberFormat="1" applyFont="1" applyFill="1" applyBorder="1" applyAlignment="1">
      <alignment horizontal="center"/>
    </xf>
    <xf numFmtId="3" fontId="16" fillId="2" borderId="2" xfId="0" applyNumberFormat="1" applyFont="1" applyFill="1" applyBorder="1" applyAlignment="1">
      <alignment horizontal="center"/>
    </xf>
    <xf numFmtId="10" fontId="17" fillId="2" borderId="1" xfId="0" applyNumberFormat="1" applyFont="1" applyFill="1" applyBorder="1" applyAlignment="1">
      <alignment horizontal="center"/>
    </xf>
    <xf numFmtId="3" fontId="16" fillId="2" borderId="4" xfId="0" applyNumberFormat="1" applyFont="1" applyFill="1" applyBorder="1" applyAlignment="1">
      <alignment horizontal="center"/>
    </xf>
    <xf numFmtId="10" fontId="17" fillId="2" borderId="3" xfId="0" applyNumberFormat="1" applyFont="1" applyFill="1" applyBorder="1" applyAlignment="1">
      <alignment horizontal="center"/>
    </xf>
    <xf numFmtId="4" fontId="1" fillId="2" borderId="0" xfId="0" applyNumberFormat="1" applyFont="1" applyFill="1" applyAlignment="1">
      <alignment wrapText="1"/>
    </xf>
    <xf numFmtId="4" fontId="1" fillId="0" borderId="3" xfId="0" applyNumberFormat="1" applyFont="1" applyBorder="1" applyAlignment="1">
      <alignment wrapText="1"/>
    </xf>
    <xf numFmtId="4" fontId="15" fillId="2" borderId="0" xfId="0" applyNumberFormat="1" applyFont="1" applyFill="1" applyAlignment="1">
      <alignment horizontal="right"/>
    </xf>
    <xf numFmtId="10" fontId="19" fillId="2" borderId="0" xfId="0" applyNumberFormat="1" applyFont="1" applyFill="1" applyAlignment="1">
      <alignment horizontal="right"/>
    </xf>
    <xf numFmtId="4" fontId="15" fillId="2" borderId="5" xfId="0" applyNumberFormat="1" applyFont="1" applyFill="1" applyBorder="1" applyAlignment="1">
      <alignment horizontal="right"/>
    </xf>
    <xf numFmtId="4" fontId="6" fillId="2" borderId="5" xfId="0" applyNumberFormat="1" applyFont="1" applyFill="1" applyBorder="1" applyAlignment="1">
      <alignment horizontal="right"/>
    </xf>
    <xf numFmtId="0" fontId="2" fillId="8" borderId="3" xfId="0" applyFont="1" applyFill="1" applyBorder="1" applyAlignment="1">
      <alignment horizontal="left" vertical="top" wrapText="1"/>
    </xf>
    <xf numFmtId="3" fontId="2" fillId="8" borderId="3" xfId="0" applyNumberFormat="1" applyFont="1" applyFill="1" applyBorder="1" applyAlignment="1">
      <alignment horizontal="center" vertical="top" wrapText="1"/>
    </xf>
    <xf numFmtId="10" fontId="2" fillId="8" borderId="3" xfId="0" applyNumberFormat="1" applyFont="1" applyFill="1" applyBorder="1" applyAlignment="1">
      <alignment horizontal="center" vertical="top" wrapText="1"/>
    </xf>
    <xf numFmtId="4" fontId="5" fillId="2" borderId="5" xfId="0" applyNumberFormat="1" applyFont="1" applyFill="1" applyBorder="1" applyAlignment="1">
      <alignment horizontal="right" vertical="top" wrapText="1"/>
    </xf>
    <xf numFmtId="0" fontId="20" fillId="2" borderId="0" xfId="0" applyFont="1" applyFill="1" applyAlignment="1">
      <alignment wrapText="1"/>
    </xf>
    <xf numFmtId="0" fontId="20" fillId="2" borderId="3" xfId="0" applyFont="1" applyFill="1" applyBorder="1" applyAlignment="1">
      <alignment wrapText="1"/>
    </xf>
    <xf numFmtId="3" fontId="21" fillId="2" borderId="3" xfId="0" applyNumberFormat="1" applyFont="1" applyFill="1" applyBorder="1" applyAlignment="1">
      <alignment horizontal="center" wrapText="1"/>
    </xf>
    <xf numFmtId="10" fontId="21" fillId="2" borderId="3" xfId="0" applyNumberFormat="1" applyFont="1" applyFill="1" applyBorder="1" applyAlignment="1">
      <alignment horizontal="center" wrapText="1"/>
    </xf>
    <xf numFmtId="4" fontId="22" fillId="2" borderId="5" xfId="0" applyNumberFormat="1" applyFont="1" applyFill="1" applyBorder="1" applyAlignment="1">
      <alignment horizontal="right" wrapText="1"/>
    </xf>
    <xf numFmtId="10" fontId="11" fillId="2" borderId="0" xfId="0" applyNumberFormat="1" applyFont="1" applyFill="1" applyAlignment="1">
      <alignment horizontal="right" wrapText="1"/>
    </xf>
    <xf numFmtId="3" fontId="4" fillId="6" borderId="3" xfId="0" applyNumberFormat="1" applyFont="1" applyFill="1" applyBorder="1" applyAlignment="1">
      <alignment horizontal="center" wrapText="1"/>
    </xf>
    <xf numFmtId="3" fontId="8" fillId="6" borderId="3" xfId="0" applyNumberFormat="1" applyFont="1" applyFill="1" applyBorder="1" applyAlignment="1">
      <alignment horizontal="center" wrapText="1"/>
    </xf>
    <xf numFmtId="10" fontId="8" fillId="6" borderId="3" xfId="0" applyNumberFormat="1" applyFont="1" applyFill="1" applyBorder="1" applyAlignment="1">
      <alignment horizontal="center" wrapText="1"/>
    </xf>
    <xf numFmtId="9" fontId="18" fillId="0" borderId="3" xfId="0" applyNumberFormat="1" applyFont="1" applyBorder="1" applyAlignment="1">
      <alignment horizontal="center" vertical="top"/>
    </xf>
    <xf numFmtId="165" fontId="18" fillId="0" borderId="3" xfId="0" applyNumberFormat="1" applyFont="1" applyBorder="1" applyAlignment="1">
      <alignment horizontal="center" vertical="top"/>
    </xf>
    <xf numFmtId="10" fontId="18" fillId="0" borderId="3" xfId="0" applyNumberFormat="1" applyFont="1" applyBorder="1" applyAlignment="1">
      <alignment horizontal="center" vertical="top"/>
    </xf>
    <xf numFmtId="4" fontId="23" fillId="2" borderId="5" xfId="0" applyNumberFormat="1" applyFont="1" applyFill="1" applyBorder="1" applyAlignment="1">
      <alignment horizontal="right" vertical="top"/>
    </xf>
    <xf numFmtId="0" fontId="10" fillId="2" borderId="0" xfId="0" applyFont="1" applyFill="1" applyAlignment="1">
      <alignment horizontal="right" vertical="top"/>
    </xf>
    <xf numFmtId="3" fontId="1" fillId="2" borderId="3" xfId="0" applyNumberFormat="1" applyFont="1" applyFill="1" applyBorder="1" applyAlignment="1">
      <alignment horizontal="center"/>
    </xf>
    <xf numFmtId="10" fontId="1" fillId="2" borderId="3" xfId="0" applyNumberFormat="1" applyFont="1" applyFill="1" applyBorder="1" applyAlignment="1">
      <alignment horizontal="center"/>
    </xf>
    <xf numFmtId="4" fontId="5" fillId="2" borderId="5" xfId="0" applyNumberFormat="1" applyFont="1" applyFill="1" applyBorder="1" applyAlignment="1">
      <alignment horizontal="right"/>
    </xf>
    <xf numFmtId="10" fontId="7" fillId="2" borderId="0" xfId="0" applyNumberFormat="1" applyFont="1" applyFill="1" applyAlignment="1">
      <alignment horizontal="right"/>
    </xf>
    <xf numFmtId="0" fontId="5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center" vertical="top" wrapText="1"/>
    </xf>
    <xf numFmtId="10" fontId="2" fillId="3" borderId="3" xfId="0" applyNumberFormat="1" applyFont="1" applyFill="1" applyBorder="1" applyAlignment="1">
      <alignment horizontal="center" vertical="top" wrapText="1"/>
    </xf>
    <xf numFmtId="3" fontId="24" fillId="2" borderId="0" xfId="0" applyNumberFormat="1" applyFont="1" applyFill="1" applyAlignment="1">
      <alignment horizontal="center" vertical="top" wrapText="1"/>
    </xf>
    <xf numFmtId="4" fontId="5" fillId="2" borderId="0" xfId="0" applyNumberFormat="1" applyFont="1" applyFill="1" applyAlignment="1">
      <alignment horizontal="right" vertical="top" wrapText="1"/>
    </xf>
    <xf numFmtId="3" fontId="16" fillId="12" borderId="0" xfId="0" applyNumberFormat="1" applyFont="1" applyFill="1" applyAlignment="1">
      <alignment horizontal="center"/>
    </xf>
    <xf numFmtId="0" fontId="1" fillId="4" borderId="3" xfId="0" applyFont="1" applyFill="1" applyBorder="1" applyAlignment="1">
      <alignment wrapText="1"/>
    </xf>
    <xf numFmtId="3" fontId="4" fillId="4" borderId="3" xfId="0" applyNumberFormat="1" applyFont="1" applyFill="1" applyBorder="1" applyAlignment="1">
      <alignment horizontal="center"/>
    </xf>
    <xf numFmtId="10" fontId="9" fillId="4" borderId="3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 vertical="top" wrapText="1"/>
    </xf>
    <xf numFmtId="10" fontId="1" fillId="2" borderId="3" xfId="0" applyNumberFormat="1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left" vertical="top" wrapText="1"/>
    </xf>
    <xf numFmtId="4" fontId="12" fillId="2" borderId="0" xfId="0" applyNumberFormat="1" applyFont="1" applyFill="1" applyAlignment="1">
      <alignment horizontal="right"/>
    </xf>
    <xf numFmtId="10" fontId="4" fillId="4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10" fontId="2" fillId="2" borderId="3" xfId="0" applyNumberFormat="1" applyFont="1" applyFill="1" applyBorder="1" applyAlignment="1">
      <alignment horizontal="center" vertical="top" wrapText="1"/>
    </xf>
    <xf numFmtId="3" fontId="16" fillId="2" borderId="3" xfId="0" applyNumberFormat="1" applyFont="1" applyFill="1" applyBorder="1" applyAlignment="1">
      <alignment horizontal="center"/>
    </xf>
    <xf numFmtId="10" fontId="10" fillId="2" borderId="0" xfId="0" applyNumberFormat="1" applyFont="1" applyFill="1" applyAlignment="1">
      <alignment horizontal="right" vertical="top"/>
    </xf>
    <xf numFmtId="3" fontId="1" fillId="0" borderId="3" xfId="0" applyNumberFormat="1" applyFont="1" applyBorder="1" applyAlignment="1">
      <alignment horizontal="center" vertical="top"/>
    </xf>
    <xf numFmtId="10" fontId="1" fillId="0" borderId="3" xfId="0" applyNumberFormat="1" applyFont="1" applyBorder="1" applyAlignment="1">
      <alignment horizontal="center" vertical="top"/>
    </xf>
    <xf numFmtId="4" fontId="5" fillId="2" borderId="5" xfId="0" applyNumberFormat="1" applyFont="1" applyFill="1" applyBorder="1" applyAlignment="1">
      <alignment horizontal="right" vertical="top"/>
    </xf>
    <xf numFmtId="10" fontId="7" fillId="2" borderId="0" xfId="0" applyNumberFormat="1" applyFont="1" applyFill="1" applyAlignment="1">
      <alignment horizontal="right" vertical="top"/>
    </xf>
    <xf numFmtId="10" fontId="24" fillId="2" borderId="0" xfId="0" applyNumberFormat="1" applyFont="1" applyFill="1" applyAlignment="1">
      <alignment horizontal="center" vertical="top" wrapText="1"/>
    </xf>
    <xf numFmtId="10" fontId="25" fillId="2" borderId="0" xfId="0" applyNumberFormat="1" applyFont="1" applyFill="1" applyAlignment="1">
      <alignment horizontal="center" wrapText="1"/>
    </xf>
    <xf numFmtId="9" fontId="26" fillId="0" borderId="3" xfId="0" applyNumberFormat="1" applyFont="1" applyBorder="1" applyAlignment="1">
      <alignment horizontal="center" vertical="top"/>
    </xf>
    <xf numFmtId="10" fontId="26" fillId="0" borderId="3" xfId="0" applyNumberFormat="1" applyFont="1" applyBorder="1" applyAlignment="1">
      <alignment horizontal="center" vertical="top"/>
    </xf>
    <xf numFmtId="10" fontId="10" fillId="2" borderId="5" xfId="0" applyNumberFormat="1" applyFont="1" applyFill="1" applyBorder="1" applyAlignment="1">
      <alignment horizontal="right" vertical="top"/>
    </xf>
    <xf numFmtId="0" fontId="7" fillId="2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3" fontId="7" fillId="0" borderId="0" xfId="0" applyNumberFormat="1" applyFont="1" applyAlignment="1">
      <alignment horizontal="center" vertical="top" wrapText="1"/>
    </xf>
    <xf numFmtId="3" fontId="7" fillId="0" borderId="6" xfId="0" applyNumberFormat="1" applyFont="1" applyBorder="1" applyAlignment="1">
      <alignment horizontal="center" vertical="top" wrapText="1"/>
    </xf>
    <xf numFmtId="10" fontId="7" fillId="0" borderId="0" xfId="0" applyNumberFormat="1" applyFont="1" applyAlignment="1">
      <alignment horizontal="center" vertical="top" wrapText="1"/>
    </xf>
    <xf numFmtId="10" fontId="7" fillId="2" borderId="0" xfId="0" applyNumberFormat="1" applyFont="1" applyFill="1" applyAlignment="1">
      <alignment horizontal="right" vertical="top" wrapText="1"/>
    </xf>
    <xf numFmtId="10" fontId="7" fillId="2" borderId="5" xfId="0" applyNumberFormat="1" applyFont="1" applyFill="1" applyBorder="1" applyAlignment="1">
      <alignment horizontal="right" vertical="top" wrapText="1"/>
    </xf>
    <xf numFmtId="3" fontId="7" fillId="0" borderId="3" xfId="0" applyNumberFormat="1" applyFont="1" applyBorder="1" applyAlignment="1">
      <alignment horizontal="center" wrapText="1"/>
    </xf>
    <xf numFmtId="0" fontId="7" fillId="2" borderId="0" xfId="0" applyFont="1" applyFill="1" applyAlignment="1">
      <alignment horizontal="right" vertical="top" wrapText="1"/>
    </xf>
    <xf numFmtId="0" fontId="7" fillId="2" borderId="5" xfId="0" applyFont="1" applyFill="1" applyBorder="1" applyAlignment="1">
      <alignment horizontal="right" vertical="top" wrapText="1"/>
    </xf>
    <xf numFmtId="3" fontId="7" fillId="0" borderId="0" xfId="0" applyNumberFormat="1" applyFont="1" applyAlignment="1">
      <alignment horizontal="right" vertical="top" wrapText="1"/>
    </xf>
    <xf numFmtId="3" fontId="7" fillId="0" borderId="0" xfId="0" applyNumberFormat="1" applyFont="1"/>
    <xf numFmtId="10" fontId="7" fillId="0" borderId="0" xfId="0" applyNumberFormat="1" applyFont="1" applyAlignment="1">
      <alignment horizontal="right" vertical="top" wrapText="1"/>
    </xf>
    <xf numFmtId="3" fontId="7" fillId="8" borderId="0" xfId="0" applyNumberFormat="1" applyFont="1" applyFill="1" applyAlignment="1">
      <alignment horizontal="right" vertical="top" wrapText="1"/>
    </xf>
    <xf numFmtId="3" fontId="7" fillId="8" borderId="3" xfId="0" applyNumberFormat="1" applyFont="1" applyFill="1" applyBorder="1" applyAlignment="1">
      <alignment horizontal="center" wrapText="1"/>
    </xf>
    <xf numFmtId="10" fontId="5" fillId="8" borderId="3" xfId="0" applyNumberFormat="1" applyFont="1" applyFill="1" applyBorder="1" applyAlignment="1">
      <alignment horizontal="center" wrapText="1"/>
    </xf>
    <xf numFmtId="3" fontId="7" fillId="2" borderId="3" xfId="0" applyNumberFormat="1" applyFont="1" applyFill="1" applyBorder="1" applyAlignment="1">
      <alignment horizontal="center" wrapText="1"/>
    </xf>
    <xf numFmtId="10" fontId="7" fillId="0" borderId="3" xfId="0" applyNumberFormat="1" applyFont="1" applyBorder="1" applyAlignment="1">
      <alignment horizontal="center" wrapText="1"/>
    </xf>
    <xf numFmtId="3" fontId="7" fillId="0" borderId="3" xfId="0" applyNumberFormat="1" applyFont="1" applyBorder="1" applyAlignment="1">
      <alignment horizontal="right" vertical="top" wrapText="1"/>
    </xf>
    <xf numFmtId="3" fontId="7" fillId="0" borderId="6" xfId="0" applyNumberFormat="1" applyFont="1" applyBorder="1" applyAlignment="1">
      <alignment horizontal="right" vertical="top" wrapText="1"/>
    </xf>
    <xf numFmtId="0" fontId="5" fillId="8" borderId="0" xfId="0" applyFont="1" applyFill="1" applyAlignment="1">
      <alignment horizontal="left" vertical="top" wrapText="1"/>
    </xf>
    <xf numFmtId="0" fontId="5" fillId="8" borderId="3" xfId="0" applyFont="1" applyFill="1" applyBorder="1" applyAlignment="1">
      <alignment horizontal="left" vertical="top"/>
    </xf>
    <xf numFmtId="3" fontId="7" fillId="8" borderId="3" xfId="0" applyNumberFormat="1" applyFont="1" applyFill="1" applyBorder="1" applyAlignment="1">
      <alignment horizontal="right" vertical="top" wrapText="1"/>
    </xf>
    <xf numFmtId="10" fontId="7" fillId="8" borderId="3" xfId="0" applyNumberFormat="1" applyFont="1" applyFill="1" applyBorder="1" applyAlignment="1">
      <alignment horizontal="right" vertical="top" wrapText="1"/>
    </xf>
    <xf numFmtId="10" fontId="7" fillId="8" borderId="0" xfId="0" applyNumberFormat="1" applyFont="1" applyFill="1" applyAlignment="1">
      <alignment horizontal="right" vertical="top" wrapText="1"/>
    </xf>
    <xf numFmtId="10" fontId="7" fillId="0" borderId="3" xfId="0" applyNumberFormat="1" applyFont="1" applyBorder="1" applyAlignment="1">
      <alignment horizontal="right" vertical="top" wrapText="1"/>
    </xf>
    <xf numFmtId="3" fontId="7" fillId="12" borderId="3" xfId="0" applyNumberFormat="1" applyFont="1" applyFill="1" applyBorder="1" applyAlignment="1">
      <alignment horizontal="right"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0" borderId="3" xfId="0" applyFont="1" applyBorder="1" applyAlignment="1">
      <alignment vertical="top"/>
    </xf>
    <xf numFmtId="4" fontId="7" fillId="0" borderId="0" xfId="0" applyNumberFormat="1" applyFont="1" applyAlignment="1">
      <alignment horizontal="right" vertical="top" wrapText="1"/>
    </xf>
    <xf numFmtId="3" fontId="7" fillId="0" borderId="0" xfId="0" applyNumberFormat="1" applyFont="1" applyAlignment="1">
      <alignment horizontal="left" vertical="top"/>
    </xf>
    <xf numFmtId="0" fontId="27" fillId="0" borderId="0" xfId="0" applyFont="1" applyAlignment="1">
      <alignment wrapText="1"/>
    </xf>
    <xf numFmtId="0" fontId="3" fillId="0" borderId="0" xfId="0" applyFont="1"/>
    <xf numFmtId="0" fontId="27" fillId="0" borderId="0" xfId="0" applyFont="1"/>
    <xf numFmtId="0" fontId="3" fillId="4" borderId="0" xfId="0" applyFont="1" applyFill="1" applyAlignment="1">
      <alignment horizontal="center"/>
    </xf>
    <xf numFmtId="0" fontId="28" fillId="0" borderId="0" xfId="0" applyFont="1" applyAlignment="1">
      <alignment horizontal="left" vertical="top" wrapText="1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3" fillId="4" borderId="0" xfId="0" applyFont="1" applyFill="1" applyAlignment="1">
      <alignment horizontal="left" vertical="top" wrapText="1"/>
    </xf>
    <xf numFmtId="0" fontId="30" fillId="4" borderId="0" xfId="0" applyFont="1" applyFill="1" applyAlignment="1">
      <alignment horizontal="center" vertical="top" wrapText="1"/>
    </xf>
    <xf numFmtId="4" fontId="3" fillId="4" borderId="0" xfId="0" applyNumberFormat="1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1" fillId="7" borderId="0" xfId="0" applyFont="1" applyFill="1" applyAlignment="1">
      <alignment horizontal="left" vertical="center" wrapText="1"/>
    </xf>
    <xf numFmtId="3" fontId="32" fillId="7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/>
    </xf>
    <xf numFmtId="0" fontId="3" fillId="9" borderId="0" xfId="0" applyFont="1" applyFill="1" applyAlignment="1">
      <alignment horizontal="left" vertical="top" wrapText="1"/>
    </xf>
    <xf numFmtId="4" fontId="3" fillId="9" borderId="0" xfId="0" applyNumberFormat="1" applyFont="1" applyFill="1" applyAlignment="1">
      <alignment horizontal="center" vertical="top" wrapText="1"/>
    </xf>
    <xf numFmtId="4" fontId="33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/>
    </xf>
    <xf numFmtId="3" fontId="34" fillId="2" borderId="0" xfId="0" applyNumberFormat="1" applyFont="1" applyFill="1" applyAlignment="1">
      <alignment horizontal="center"/>
    </xf>
    <xf numFmtId="4" fontId="35" fillId="0" borderId="0" xfId="0" applyNumberFormat="1" applyFont="1" applyAlignment="1">
      <alignment horizontal="center" vertical="top" wrapText="1"/>
    </xf>
    <xf numFmtId="3" fontId="33" fillId="0" borderId="0" xfId="0" applyNumberFormat="1" applyFont="1" applyAlignment="1">
      <alignment horizontal="center" vertical="top" wrapText="1"/>
    </xf>
    <xf numFmtId="0" fontId="36" fillId="0" borderId="0" xfId="0" applyFont="1" applyAlignment="1">
      <alignment horizontal="left" vertical="top" wrapText="1"/>
    </xf>
    <xf numFmtId="10" fontId="36" fillId="0" borderId="0" xfId="0" applyNumberFormat="1" applyFont="1" applyAlignment="1">
      <alignment horizontal="center" vertical="top" wrapText="1"/>
    </xf>
    <xf numFmtId="0" fontId="3" fillId="3" borderId="0" xfId="0" applyFont="1" applyFill="1" applyAlignment="1">
      <alignment horizontal="left" vertical="top" wrapText="1"/>
    </xf>
    <xf numFmtId="4" fontId="32" fillId="7" borderId="0" xfId="0" applyNumberFormat="1" applyFont="1" applyFill="1" applyAlignment="1">
      <alignment horizontal="center" vertical="center" wrapText="1"/>
    </xf>
    <xf numFmtId="0" fontId="30" fillId="14" borderId="0" xfId="0" applyFont="1" applyFill="1" applyAlignment="1">
      <alignment vertical="top"/>
    </xf>
    <xf numFmtId="4" fontId="30" fillId="0" borderId="0" xfId="0" applyNumberFormat="1" applyFont="1" applyAlignment="1">
      <alignment horizontal="center" vertical="top" wrapText="1"/>
    </xf>
    <xf numFmtId="9" fontId="30" fillId="0" borderId="0" xfId="0" applyNumberFormat="1" applyFont="1" applyAlignment="1">
      <alignment horizontal="center" vertical="top" wrapText="1"/>
    </xf>
    <xf numFmtId="0" fontId="3" fillId="13" borderId="0" xfId="0" applyFont="1" applyFill="1" applyAlignment="1">
      <alignment horizontal="left" vertical="top" wrapText="1"/>
    </xf>
    <xf numFmtId="4" fontId="3" fillId="13" borderId="0" xfId="0" applyNumberFormat="1" applyFont="1" applyFill="1" applyAlignment="1">
      <alignment horizontal="center" vertical="top" wrapText="1"/>
    </xf>
    <xf numFmtId="0" fontId="37" fillId="0" borderId="0" xfId="0" applyFont="1"/>
    <xf numFmtId="4" fontId="37" fillId="0" borderId="0" xfId="0" applyNumberFormat="1" applyFont="1" applyAlignment="1">
      <alignment wrapText="1"/>
    </xf>
    <xf numFmtId="0" fontId="29" fillId="0" borderId="0" xfId="0" applyFont="1" applyAlignment="1">
      <alignment vertical="top" wrapText="1"/>
    </xf>
    <xf numFmtId="4" fontId="29" fillId="0" borderId="0" xfId="0" applyNumberFormat="1" applyFont="1" applyAlignment="1">
      <alignment horizontal="center"/>
    </xf>
    <xf numFmtId="0" fontId="38" fillId="0" borderId="0" xfId="0" applyFont="1" applyAlignment="1">
      <alignment horizontal="left" vertical="top" wrapText="1"/>
    </xf>
    <xf numFmtId="0" fontId="0" fillId="0" borderId="0" xfId="0"/>
    <xf numFmtId="4" fontId="35" fillId="0" borderId="0" xfId="0" applyNumberFormat="1" applyFont="1" applyAlignment="1">
      <alignment horizontal="center" vertical="top" wrapText="1"/>
    </xf>
    <xf numFmtId="4" fontId="32" fillId="7" borderId="0" xfId="0" applyNumberFormat="1" applyFont="1" applyFill="1" applyAlignment="1">
      <alignment horizontal="center" vertical="center" wrapText="1"/>
    </xf>
    <xf numFmtId="10" fontId="36" fillId="0" borderId="0" xfId="0" applyNumberFormat="1" applyFont="1" applyAlignment="1">
      <alignment horizontal="center" vertical="top" wrapText="1"/>
    </xf>
    <xf numFmtId="4" fontId="3" fillId="9" borderId="0" xfId="0" applyNumberFormat="1" applyFont="1" applyFill="1" applyAlignment="1">
      <alignment horizontal="center" vertical="top" wrapText="1"/>
    </xf>
    <xf numFmtId="0" fontId="31" fillId="7" borderId="0" xfId="0" applyFont="1" applyFill="1" applyAlignment="1">
      <alignment horizontal="left" vertical="center" textRotation="255" wrapText="1"/>
    </xf>
    <xf numFmtId="0" fontId="3" fillId="13" borderId="0" xfId="0" applyFont="1" applyFill="1" applyAlignment="1">
      <alignment horizontal="left" vertical="top" textRotation="255" wrapText="1"/>
    </xf>
    <xf numFmtId="4" fontId="3" fillId="13" borderId="0" xfId="0" applyNumberFormat="1" applyFont="1" applyFill="1" applyAlignment="1">
      <alignment horizontal="center" vertical="top" wrapText="1"/>
    </xf>
  </cellXfs>
  <cellStyles count="1">
    <cellStyle name="Обычный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AA84F"/>
    <outlinePr summaryBelow="0" summaryRight="0"/>
  </sheetPr>
  <dimension ref="A1:W167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2.6640625" defaultRowHeight="15.75" customHeight="1" outlineLevelRow="1" x14ac:dyDescent="0.15"/>
  <cols>
    <col min="1" max="1" width="1.6640625" customWidth="1"/>
    <col min="2" max="2" width="33.5" customWidth="1"/>
    <col min="3" max="3" width="1.6640625" customWidth="1"/>
    <col min="4" max="16" width="10.33203125" customWidth="1"/>
    <col min="17" max="17" width="8.33203125" customWidth="1"/>
    <col min="18" max="18" width="12.1640625" customWidth="1"/>
    <col min="19" max="19" width="12.1640625" hidden="1" customWidth="1"/>
    <col min="20" max="22" width="9.1640625" hidden="1" customWidth="1"/>
    <col min="23" max="23" width="10.1640625" hidden="1" customWidth="1"/>
  </cols>
  <sheetData>
    <row r="1" spans="1:23" ht="13.5" customHeight="1" x14ac:dyDescent="0.2">
      <c r="A1" s="9"/>
      <c r="B1" s="9" t="s">
        <v>18</v>
      </c>
      <c r="C1" s="10"/>
      <c r="D1" s="10" t="s">
        <v>19</v>
      </c>
      <c r="E1" s="11"/>
      <c r="F1" s="12"/>
      <c r="G1" s="12"/>
      <c r="H1" s="12"/>
      <c r="I1" s="12"/>
      <c r="J1" s="12"/>
      <c r="K1" s="12"/>
      <c r="L1" s="12"/>
      <c r="M1" s="12"/>
      <c r="N1" s="12"/>
      <c r="O1" s="12" t="b">
        <v>1</v>
      </c>
      <c r="P1" s="13"/>
      <c r="Q1" s="12"/>
      <c r="R1" s="12"/>
      <c r="S1" s="12"/>
      <c r="T1" s="12"/>
      <c r="U1" s="12"/>
      <c r="V1" s="12"/>
      <c r="W1" s="12"/>
    </row>
    <row r="2" spans="1:23" ht="15" x14ac:dyDescent="0.15">
      <c r="A2" s="14"/>
      <c r="B2" s="15" t="s">
        <v>20</v>
      </c>
      <c r="C2" s="16"/>
      <c r="D2" s="16">
        <v>1</v>
      </c>
      <c r="E2" s="15">
        <v>2</v>
      </c>
      <c r="F2" s="15">
        <v>3</v>
      </c>
      <c r="G2" s="15">
        <v>4</v>
      </c>
      <c r="H2" s="15">
        <v>5</v>
      </c>
      <c r="I2" s="15">
        <v>6</v>
      </c>
      <c r="J2" s="15">
        <v>7</v>
      </c>
      <c r="K2" s="15">
        <v>8</v>
      </c>
      <c r="L2" s="15">
        <v>9</v>
      </c>
      <c r="M2" s="15">
        <v>10</v>
      </c>
      <c r="N2" s="15">
        <v>11</v>
      </c>
      <c r="O2" s="15">
        <v>12</v>
      </c>
      <c r="P2" s="15" t="s">
        <v>21</v>
      </c>
      <c r="Q2" s="15" t="s">
        <v>1</v>
      </c>
      <c r="R2" s="17"/>
      <c r="S2" s="17"/>
      <c r="T2" s="17"/>
      <c r="U2" s="17"/>
      <c r="V2" s="17"/>
      <c r="W2" s="17"/>
    </row>
    <row r="3" spans="1:23" ht="15" x14ac:dyDescent="0.2">
      <c r="A3" s="18"/>
      <c r="B3" s="19" t="s">
        <v>22</v>
      </c>
      <c r="C3" s="20"/>
      <c r="D3" s="20" t="str">
        <f t="shared" ref="D3:O3" ca="1" si="0">IFERROR((D60+D101+D112)/D58,"")</f>
        <v/>
      </c>
      <c r="E3" s="20" t="str">
        <f t="shared" ca="1" si="0"/>
        <v/>
      </c>
      <c r="F3" s="20" t="str">
        <f t="shared" ca="1" si="0"/>
        <v/>
      </c>
      <c r="G3" s="20" t="str">
        <f t="shared" ca="1" si="0"/>
        <v/>
      </c>
      <c r="H3" s="20" t="str">
        <f t="shared" ca="1" si="0"/>
        <v/>
      </c>
      <c r="I3" s="20" t="str">
        <f t="shared" ca="1" si="0"/>
        <v/>
      </c>
      <c r="J3" s="20" t="str">
        <f t="shared" ca="1" si="0"/>
        <v/>
      </c>
      <c r="K3" s="20" t="str">
        <f t="shared" ca="1" si="0"/>
        <v/>
      </c>
      <c r="L3" s="20" t="str">
        <f t="shared" ca="1" si="0"/>
        <v/>
      </c>
      <c r="M3" s="20" t="str">
        <f t="shared" ca="1" si="0"/>
        <v/>
      </c>
      <c r="N3" s="20" t="str">
        <f t="shared" ca="1" si="0"/>
        <v/>
      </c>
      <c r="O3" s="20" t="str">
        <f t="shared" ca="1" si="0"/>
        <v/>
      </c>
      <c r="P3" s="20" t="str">
        <f ca="1">IFERROR(-(#REF!+#REF!+P43+P101+P112)/#REF!,"")</f>
        <v/>
      </c>
      <c r="Q3" s="20"/>
      <c r="R3" s="21"/>
      <c r="S3" s="21"/>
      <c r="T3" s="21"/>
      <c r="U3" s="21"/>
      <c r="V3" s="21"/>
      <c r="W3" s="21"/>
    </row>
    <row r="4" spans="1:23" ht="15" x14ac:dyDescent="0.2">
      <c r="A4" s="22"/>
      <c r="B4" s="23" t="s">
        <v>2</v>
      </c>
      <c r="C4" s="24"/>
      <c r="D4" s="24">
        <f t="shared" ref="D4:O4" ca="1" si="1">SUM(D5:D11)</f>
        <v>0</v>
      </c>
      <c r="E4" s="24">
        <f t="shared" ca="1" si="1"/>
        <v>0</v>
      </c>
      <c r="F4" s="24">
        <f t="shared" ca="1" si="1"/>
        <v>0</v>
      </c>
      <c r="G4" s="24">
        <f t="shared" ca="1" si="1"/>
        <v>0</v>
      </c>
      <c r="H4" s="24">
        <f t="shared" ca="1" si="1"/>
        <v>0</v>
      </c>
      <c r="I4" s="24">
        <f t="shared" ca="1" si="1"/>
        <v>0</v>
      </c>
      <c r="J4" s="24">
        <f t="shared" ca="1" si="1"/>
        <v>0</v>
      </c>
      <c r="K4" s="24">
        <f t="shared" ca="1" si="1"/>
        <v>0</v>
      </c>
      <c r="L4" s="24">
        <f t="shared" ca="1" si="1"/>
        <v>0</v>
      </c>
      <c r="M4" s="24">
        <f t="shared" ca="1" si="1"/>
        <v>0</v>
      </c>
      <c r="N4" s="24">
        <f t="shared" ca="1" si="1"/>
        <v>0</v>
      </c>
      <c r="O4" s="24">
        <f t="shared" ca="1" si="1"/>
        <v>0</v>
      </c>
      <c r="P4" s="24">
        <f t="shared" ref="P4:P6" ca="1" si="2">SUM(D4:O4)</f>
        <v>0</v>
      </c>
      <c r="Q4" s="25">
        <v>1</v>
      </c>
      <c r="R4" s="26"/>
      <c r="S4" s="26"/>
      <c r="T4" s="27"/>
      <c r="U4" s="28"/>
      <c r="V4" s="28"/>
      <c r="W4" s="28"/>
    </row>
    <row r="5" spans="1:23" ht="15" x14ac:dyDescent="0.2">
      <c r="A5" s="29"/>
      <c r="B5" s="30" t="str">
        <f ca="1">IFERROR(__xludf.DUMMYFUNCTION("iferror(filter('Статьи'!$A$1:$A167,'Статьи'!$B$1:$B167=$B$4))"),"Агентское от продажи")</f>
        <v>Агентское от продажи</v>
      </c>
      <c r="C5" s="20"/>
      <c r="D5" s="20" t="str">
        <f t="shared" ref="D5:O5" ca="1" si="3">IF($O$1,IFERROR(INDIRECT("'"&amp;D$2&amp;"'!"&amp;$D$1&amp;MATCH($B5,INDIRECT("'"&amp;D$2&amp;"'!B1:B"),0)),""),
IFERROR(INDIRECT("'"&amp;D$2&amp;"!"&amp;$D$1&amp;MATCH($B5,INDIRECT("'"&amp;D$2&amp;"'!B:B"),0)),""))</f>
        <v/>
      </c>
      <c r="E5" s="20" t="str">
        <f t="shared" ca="1" si="3"/>
        <v/>
      </c>
      <c r="F5" s="20" t="str">
        <f t="shared" ca="1" si="3"/>
        <v/>
      </c>
      <c r="G5" s="20" t="str">
        <f t="shared" ca="1" si="3"/>
        <v/>
      </c>
      <c r="H5" s="20" t="str">
        <f t="shared" ca="1" si="3"/>
        <v/>
      </c>
      <c r="I5" s="20" t="str">
        <f t="shared" ca="1" si="3"/>
        <v/>
      </c>
      <c r="J5" s="20" t="str">
        <f t="shared" ca="1" si="3"/>
        <v/>
      </c>
      <c r="K5" s="20" t="str">
        <f t="shared" ca="1" si="3"/>
        <v/>
      </c>
      <c r="L5" s="20" t="str">
        <f t="shared" ca="1" si="3"/>
        <v/>
      </c>
      <c r="M5" s="20" t="str">
        <f t="shared" ca="1" si="3"/>
        <v/>
      </c>
      <c r="N5" s="20" t="str">
        <f t="shared" ca="1" si="3"/>
        <v/>
      </c>
      <c r="O5" s="20" t="str">
        <f t="shared" ca="1" si="3"/>
        <v/>
      </c>
      <c r="P5" s="31">
        <f t="shared" ca="1" si="2"/>
        <v>0</v>
      </c>
      <c r="Q5" s="32"/>
      <c r="R5" s="33"/>
      <c r="S5" s="33"/>
      <c r="T5" s="34"/>
      <c r="U5" s="34"/>
      <c r="V5" s="34"/>
      <c r="W5" s="34"/>
    </row>
    <row r="6" spans="1:23" ht="15" collapsed="1" x14ac:dyDescent="0.2">
      <c r="A6" s="29"/>
      <c r="B6" s="30" t="str">
        <f ca="1">IFERROR(__xludf.DUMMYFUNCTION("""COMPUTED_VALUE"""),"Агентское от доп. услуг")</f>
        <v>Агентское от доп. услуг</v>
      </c>
      <c r="C6" s="20"/>
      <c r="D6" s="20" t="str">
        <f t="shared" ref="D6:O6" ca="1" si="4">IF($O$1,IFERROR(INDIRECT("'"&amp;D$2&amp;"'!"&amp;$D$1&amp;MATCH($B6,INDIRECT("'"&amp;D$2&amp;"'!B1:B"),0)),""),
IFERROR(INDIRECT("'"&amp;D$2&amp;"!"&amp;$D$1&amp;MATCH($B6,INDIRECT("'"&amp;D$2&amp;"'!B:B"),0)),""))</f>
        <v/>
      </c>
      <c r="E6" s="20" t="str">
        <f t="shared" ca="1" si="4"/>
        <v/>
      </c>
      <c r="F6" s="20" t="str">
        <f t="shared" ca="1" si="4"/>
        <v/>
      </c>
      <c r="G6" s="20" t="str">
        <f t="shared" ca="1" si="4"/>
        <v/>
      </c>
      <c r="H6" s="20" t="str">
        <f t="shared" ca="1" si="4"/>
        <v/>
      </c>
      <c r="I6" s="20" t="str">
        <f t="shared" ca="1" si="4"/>
        <v/>
      </c>
      <c r="J6" s="20" t="str">
        <f t="shared" ca="1" si="4"/>
        <v/>
      </c>
      <c r="K6" s="20" t="str">
        <f t="shared" ca="1" si="4"/>
        <v/>
      </c>
      <c r="L6" s="20" t="str">
        <f t="shared" ca="1" si="4"/>
        <v/>
      </c>
      <c r="M6" s="20" t="str">
        <f t="shared" ca="1" si="4"/>
        <v/>
      </c>
      <c r="N6" s="20" t="str">
        <f t="shared" ca="1" si="4"/>
        <v/>
      </c>
      <c r="O6" s="20" t="str">
        <f t="shared" ca="1" si="4"/>
        <v/>
      </c>
      <c r="P6" s="31">
        <f t="shared" ca="1" si="2"/>
        <v>0</v>
      </c>
      <c r="Q6" s="32"/>
      <c r="R6" s="33"/>
      <c r="S6" s="33"/>
      <c r="T6" s="34"/>
      <c r="U6" s="34"/>
      <c r="V6" s="34"/>
      <c r="W6" s="34"/>
    </row>
    <row r="7" spans="1:23" ht="15" hidden="1" outlineLevel="1" x14ac:dyDescent="0.2">
      <c r="A7" s="29"/>
      <c r="B7" s="30"/>
      <c r="C7" s="20"/>
      <c r="D7" s="20" t="str">
        <f t="shared" ref="D7:O7" ca="1" si="5">IF($O$1,IFERROR(INDIRECT("'"&amp;D$2&amp;"'!"&amp;$D$1&amp;MATCH($B7,INDIRECT("'"&amp;D$2&amp;"'!B1:B"),0)),""),
IFERROR(INDIRECT("'"&amp;D$2&amp;"!"&amp;$D$1&amp;MATCH($B7,INDIRECT("'"&amp;D$2&amp;"'!B:B"),0)),""))</f>
        <v/>
      </c>
      <c r="E7" s="20" t="str">
        <f t="shared" ca="1" si="5"/>
        <v/>
      </c>
      <c r="F7" s="20" t="str">
        <f t="shared" ca="1" si="5"/>
        <v/>
      </c>
      <c r="G7" s="20" t="str">
        <f t="shared" ca="1" si="5"/>
        <v/>
      </c>
      <c r="H7" s="20" t="str">
        <f t="shared" ca="1" si="5"/>
        <v/>
      </c>
      <c r="I7" s="20" t="str">
        <f t="shared" ca="1" si="5"/>
        <v/>
      </c>
      <c r="J7" s="20" t="str">
        <f t="shared" ca="1" si="5"/>
        <v/>
      </c>
      <c r="K7" s="20" t="str">
        <f t="shared" ca="1" si="5"/>
        <v/>
      </c>
      <c r="L7" s="20" t="str">
        <f t="shared" ca="1" si="5"/>
        <v/>
      </c>
      <c r="M7" s="20" t="str">
        <f t="shared" ca="1" si="5"/>
        <v/>
      </c>
      <c r="N7" s="20" t="str">
        <f t="shared" ca="1" si="5"/>
        <v/>
      </c>
      <c r="O7" s="20" t="str">
        <f t="shared" ca="1" si="5"/>
        <v/>
      </c>
      <c r="P7" s="20"/>
      <c r="Q7" s="32"/>
      <c r="R7" s="33"/>
      <c r="S7" s="33"/>
      <c r="T7" s="34"/>
      <c r="U7" s="34"/>
      <c r="V7" s="34"/>
      <c r="W7" s="34"/>
    </row>
    <row r="8" spans="1:23" ht="15" hidden="1" outlineLevel="1" x14ac:dyDescent="0.2">
      <c r="A8" s="29"/>
      <c r="B8" s="30"/>
      <c r="C8" s="20"/>
      <c r="D8" s="20" t="str">
        <f t="shared" ref="D8:O8" ca="1" si="6">IF($O$1,IFERROR(INDIRECT("'"&amp;D$2&amp;"'!"&amp;$D$1&amp;MATCH($B8,INDIRECT("'"&amp;D$2&amp;"'!B1:B"),0)),""),
IFERROR(INDIRECT("'"&amp;D$2&amp;"!"&amp;$D$1&amp;MATCH($B8,INDIRECT("'"&amp;D$2&amp;"'!B:B"),0)),""))</f>
        <v/>
      </c>
      <c r="E8" s="20" t="str">
        <f t="shared" ca="1" si="6"/>
        <v/>
      </c>
      <c r="F8" s="20" t="str">
        <f t="shared" ca="1" si="6"/>
        <v/>
      </c>
      <c r="G8" s="20" t="str">
        <f t="shared" ca="1" si="6"/>
        <v/>
      </c>
      <c r="H8" s="20" t="str">
        <f t="shared" ca="1" si="6"/>
        <v/>
      </c>
      <c r="I8" s="20" t="str">
        <f t="shared" ca="1" si="6"/>
        <v/>
      </c>
      <c r="J8" s="20" t="str">
        <f t="shared" ca="1" si="6"/>
        <v/>
      </c>
      <c r="K8" s="20" t="str">
        <f t="shared" ca="1" si="6"/>
        <v/>
      </c>
      <c r="L8" s="20" t="str">
        <f t="shared" ca="1" si="6"/>
        <v/>
      </c>
      <c r="M8" s="20" t="str">
        <f t="shared" ca="1" si="6"/>
        <v/>
      </c>
      <c r="N8" s="20" t="str">
        <f t="shared" ca="1" si="6"/>
        <v/>
      </c>
      <c r="O8" s="20" t="str">
        <f t="shared" ca="1" si="6"/>
        <v/>
      </c>
      <c r="P8" s="20"/>
      <c r="Q8" s="32"/>
      <c r="R8" s="33"/>
      <c r="S8" s="33"/>
      <c r="T8" s="34"/>
      <c r="U8" s="34"/>
      <c r="V8" s="34"/>
      <c r="W8" s="34"/>
    </row>
    <row r="9" spans="1:23" ht="15" hidden="1" outlineLevel="1" x14ac:dyDescent="0.2">
      <c r="A9" s="29"/>
      <c r="B9" s="30"/>
      <c r="C9" s="20"/>
      <c r="D9" s="20" t="str">
        <f t="shared" ref="D9:O9" ca="1" si="7">IF($O$1,IFERROR(INDIRECT("'"&amp;D$2&amp;"'!"&amp;$D$1&amp;MATCH($B9,INDIRECT("'"&amp;D$2&amp;"'!B1:B"),0)),""),
IFERROR(INDIRECT("'"&amp;D$2&amp;"!"&amp;$D$1&amp;MATCH($B9,INDIRECT("'"&amp;D$2&amp;"'!B:B"),0)),""))</f>
        <v/>
      </c>
      <c r="E9" s="20" t="str">
        <f t="shared" ca="1" si="7"/>
        <v/>
      </c>
      <c r="F9" s="20" t="str">
        <f t="shared" ca="1" si="7"/>
        <v/>
      </c>
      <c r="G9" s="20" t="str">
        <f t="shared" ca="1" si="7"/>
        <v/>
      </c>
      <c r="H9" s="20" t="str">
        <f t="shared" ca="1" si="7"/>
        <v/>
      </c>
      <c r="I9" s="20" t="str">
        <f t="shared" ca="1" si="7"/>
        <v/>
      </c>
      <c r="J9" s="20" t="str">
        <f t="shared" ca="1" si="7"/>
        <v/>
      </c>
      <c r="K9" s="20" t="str">
        <f t="shared" ca="1" si="7"/>
        <v/>
      </c>
      <c r="L9" s="20" t="str">
        <f t="shared" ca="1" si="7"/>
        <v/>
      </c>
      <c r="M9" s="20" t="str">
        <f t="shared" ca="1" si="7"/>
        <v/>
      </c>
      <c r="N9" s="20" t="str">
        <f t="shared" ca="1" si="7"/>
        <v/>
      </c>
      <c r="O9" s="20" t="str">
        <f t="shared" ca="1" si="7"/>
        <v/>
      </c>
      <c r="P9" s="20"/>
      <c r="Q9" s="32"/>
      <c r="R9" s="33"/>
      <c r="S9" s="33"/>
      <c r="T9" s="34"/>
      <c r="U9" s="34"/>
      <c r="V9" s="34"/>
      <c r="W9" s="34"/>
    </row>
    <row r="10" spans="1:23" ht="15" hidden="1" outlineLevel="1" x14ac:dyDescent="0.2">
      <c r="A10" s="29"/>
      <c r="B10" s="30"/>
      <c r="C10" s="20"/>
      <c r="D10" s="20" t="str">
        <f t="shared" ref="D10:O10" ca="1" si="8">IF($O$1,IFERROR(INDIRECT("'"&amp;D$2&amp;"'!"&amp;$D$1&amp;MATCH($B10,INDIRECT("'"&amp;D$2&amp;"'!B1:B"),0)),""),
IFERROR(INDIRECT("'"&amp;D$2&amp;"!"&amp;$D$1&amp;MATCH($B10,INDIRECT("'"&amp;D$2&amp;"'!B:B"),0)),""))</f>
        <v/>
      </c>
      <c r="E10" s="20" t="str">
        <f t="shared" ca="1" si="8"/>
        <v/>
      </c>
      <c r="F10" s="20" t="str">
        <f t="shared" ca="1" si="8"/>
        <v/>
      </c>
      <c r="G10" s="20" t="str">
        <f t="shared" ca="1" si="8"/>
        <v/>
      </c>
      <c r="H10" s="20" t="str">
        <f t="shared" ca="1" si="8"/>
        <v/>
      </c>
      <c r="I10" s="20" t="str">
        <f t="shared" ca="1" si="8"/>
        <v/>
      </c>
      <c r="J10" s="20" t="str">
        <f t="shared" ca="1" si="8"/>
        <v/>
      </c>
      <c r="K10" s="20" t="str">
        <f t="shared" ca="1" si="8"/>
        <v/>
      </c>
      <c r="L10" s="20" t="str">
        <f t="shared" ca="1" si="8"/>
        <v/>
      </c>
      <c r="M10" s="20" t="str">
        <f t="shared" ca="1" si="8"/>
        <v/>
      </c>
      <c r="N10" s="20" t="str">
        <f t="shared" ca="1" si="8"/>
        <v/>
      </c>
      <c r="O10" s="20" t="str">
        <f t="shared" ca="1" si="8"/>
        <v/>
      </c>
      <c r="P10" s="20"/>
      <c r="Q10" s="32"/>
      <c r="R10" s="33"/>
      <c r="S10" s="33"/>
      <c r="T10" s="34"/>
      <c r="U10" s="34"/>
      <c r="V10" s="34"/>
      <c r="W10" s="34"/>
    </row>
    <row r="11" spans="1:23" ht="15" hidden="1" outlineLevel="1" x14ac:dyDescent="0.2">
      <c r="A11" s="29"/>
      <c r="B11" s="30"/>
      <c r="C11" s="20"/>
      <c r="D11" s="20" t="str">
        <f t="shared" ref="D11:O11" ca="1" si="9">IF($O$1,IFERROR(INDIRECT("'"&amp;D$2&amp;"'!"&amp;$D$1&amp;MATCH($B11,INDIRECT("'"&amp;D$2&amp;"'!B1:B"),0)),""),
IFERROR(INDIRECT("'"&amp;D$2&amp;"!"&amp;$D$1&amp;MATCH($B11,INDIRECT("'"&amp;D$2&amp;"'!B:B"),0)),""))</f>
        <v/>
      </c>
      <c r="E11" s="20" t="str">
        <f t="shared" ca="1" si="9"/>
        <v/>
      </c>
      <c r="F11" s="20" t="str">
        <f t="shared" ca="1" si="9"/>
        <v/>
      </c>
      <c r="G11" s="20" t="str">
        <f t="shared" ca="1" si="9"/>
        <v/>
      </c>
      <c r="H11" s="20" t="str">
        <f t="shared" ca="1" si="9"/>
        <v/>
      </c>
      <c r="I11" s="20" t="str">
        <f t="shared" ca="1" si="9"/>
        <v/>
      </c>
      <c r="J11" s="20" t="str">
        <f t="shared" ca="1" si="9"/>
        <v/>
      </c>
      <c r="K11" s="20" t="str">
        <f t="shared" ca="1" si="9"/>
        <v/>
      </c>
      <c r="L11" s="20" t="str">
        <f t="shared" ca="1" si="9"/>
        <v/>
      </c>
      <c r="M11" s="20" t="str">
        <f t="shared" ca="1" si="9"/>
        <v/>
      </c>
      <c r="N11" s="20" t="str">
        <f t="shared" ca="1" si="9"/>
        <v/>
      </c>
      <c r="O11" s="20" t="str">
        <f t="shared" ca="1" si="9"/>
        <v/>
      </c>
      <c r="P11" s="20"/>
      <c r="Q11" s="32"/>
      <c r="R11" s="33"/>
      <c r="S11" s="33"/>
      <c r="T11" s="34"/>
      <c r="U11" s="34"/>
      <c r="V11" s="34"/>
      <c r="W11" s="34"/>
    </row>
    <row r="12" spans="1:23" ht="15" hidden="1" outlineLevel="1" x14ac:dyDescent="0.2">
      <c r="A12" s="29"/>
      <c r="B12" s="30"/>
      <c r="C12" s="20"/>
      <c r="D12" s="20" t="str">
        <f t="shared" ref="D12:O12" ca="1" si="10">IF($O$1,IFERROR(INDIRECT("'"&amp;D$2&amp;"'!"&amp;$D$1&amp;MATCH($B12,INDIRECT("'"&amp;D$2&amp;"'!B1:B"),0)),""),
IFERROR(INDIRECT("'"&amp;D$2&amp;"!"&amp;$D$1&amp;MATCH($B12,INDIRECT("'"&amp;D$2&amp;"'!B:B"),0)),""))</f>
        <v/>
      </c>
      <c r="E12" s="20" t="str">
        <f t="shared" ca="1" si="10"/>
        <v/>
      </c>
      <c r="F12" s="20" t="str">
        <f t="shared" ca="1" si="10"/>
        <v/>
      </c>
      <c r="G12" s="20" t="str">
        <f t="shared" ca="1" si="10"/>
        <v/>
      </c>
      <c r="H12" s="20" t="str">
        <f t="shared" ca="1" si="10"/>
        <v/>
      </c>
      <c r="I12" s="20" t="str">
        <f t="shared" ca="1" si="10"/>
        <v/>
      </c>
      <c r="J12" s="20" t="str">
        <f t="shared" ca="1" si="10"/>
        <v/>
      </c>
      <c r="K12" s="20" t="str">
        <f t="shared" ca="1" si="10"/>
        <v/>
      </c>
      <c r="L12" s="20" t="str">
        <f t="shared" ca="1" si="10"/>
        <v/>
      </c>
      <c r="M12" s="20" t="str">
        <f t="shared" ca="1" si="10"/>
        <v/>
      </c>
      <c r="N12" s="20" t="str">
        <f t="shared" ca="1" si="10"/>
        <v/>
      </c>
      <c r="O12" s="20" t="str">
        <f t="shared" ca="1" si="10"/>
        <v/>
      </c>
      <c r="P12" s="20">
        <f t="shared" ref="P12:P13" ca="1" si="11">SUM(D12:O12)</f>
        <v>0</v>
      </c>
      <c r="Q12" s="32"/>
      <c r="R12" s="33"/>
      <c r="S12" s="33"/>
      <c r="T12" s="34"/>
      <c r="U12" s="34"/>
      <c r="V12" s="34"/>
      <c r="W12" s="34"/>
    </row>
    <row r="13" spans="1:23" ht="16" x14ac:dyDescent="0.2">
      <c r="A13" s="35"/>
      <c r="B13" s="36" t="s">
        <v>3</v>
      </c>
      <c r="C13" s="37"/>
      <c r="D13" s="38" t="str">
        <f t="shared" ref="D13:O13" ca="1" si="12">IF($O$1,IFERROR(INDIRECT("'"&amp;D$2&amp;"'!"&amp;$D$1&amp;MATCH($B13,INDIRECT("'"&amp;D$2&amp;"'!B1:B"),0)),""),
IFERROR(INDIRECT("'"&amp;D$2&amp;"!"&amp;$D$1&amp;MATCH($B13,INDIRECT("'"&amp;D$2&amp;"'!B:B"),0)),""))</f>
        <v/>
      </c>
      <c r="E13" s="38" t="str">
        <f t="shared" ca="1" si="12"/>
        <v/>
      </c>
      <c r="F13" s="38" t="str">
        <f t="shared" ca="1" si="12"/>
        <v/>
      </c>
      <c r="G13" s="38" t="str">
        <f t="shared" ca="1" si="12"/>
        <v/>
      </c>
      <c r="H13" s="38" t="str">
        <f t="shared" ca="1" si="12"/>
        <v/>
      </c>
      <c r="I13" s="38" t="str">
        <f t="shared" ca="1" si="12"/>
        <v/>
      </c>
      <c r="J13" s="38" t="str">
        <f t="shared" ca="1" si="12"/>
        <v/>
      </c>
      <c r="K13" s="38" t="str">
        <f t="shared" ca="1" si="12"/>
        <v/>
      </c>
      <c r="L13" s="38" t="str">
        <f t="shared" ca="1" si="12"/>
        <v/>
      </c>
      <c r="M13" s="38" t="str">
        <f t="shared" ca="1" si="12"/>
        <v/>
      </c>
      <c r="N13" s="38" t="str">
        <f t="shared" ca="1" si="12"/>
        <v/>
      </c>
      <c r="O13" s="38" t="str">
        <f t="shared" ca="1" si="12"/>
        <v/>
      </c>
      <c r="P13" s="31">
        <f t="shared" ca="1" si="11"/>
        <v>0</v>
      </c>
      <c r="Q13" s="39" t="e">
        <f t="shared" ref="Q13:Q21" ca="1" si="13">P13/$P$4</f>
        <v>#DIV/0!</v>
      </c>
      <c r="R13" s="40"/>
      <c r="S13" s="40"/>
      <c r="T13" s="41"/>
      <c r="U13" s="41"/>
      <c r="V13" s="41"/>
      <c r="W13" s="41"/>
    </row>
    <row r="14" spans="1:23" ht="15" x14ac:dyDescent="0.15">
      <c r="A14" s="42"/>
      <c r="B14" s="43" t="s">
        <v>4</v>
      </c>
      <c r="C14" s="44"/>
      <c r="D14" s="44" t="e">
        <f t="shared" ref="D14:P14" ca="1" si="14">D15+D24</f>
        <v>#VALUE!</v>
      </c>
      <c r="E14" s="44" t="e">
        <f t="shared" ca="1" si="14"/>
        <v>#VALUE!</v>
      </c>
      <c r="F14" s="44" t="e">
        <f t="shared" ca="1" si="14"/>
        <v>#VALUE!</v>
      </c>
      <c r="G14" s="44" t="e">
        <f t="shared" ca="1" si="14"/>
        <v>#VALUE!</v>
      </c>
      <c r="H14" s="44" t="e">
        <f t="shared" ca="1" si="14"/>
        <v>#VALUE!</v>
      </c>
      <c r="I14" s="44" t="e">
        <f t="shared" ca="1" si="14"/>
        <v>#VALUE!</v>
      </c>
      <c r="J14" s="44" t="e">
        <f t="shared" ca="1" si="14"/>
        <v>#VALUE!</v>
      </c>
      <c r="K14" s="44" t="e">
        <f t="shared" ca="1" si="14"/>
        <v>#VALUE!</v>
      </c>
      <c r="L14" s="44" t="e">
        <f t="shared" ca="1" si="14"/>
        <v>#VALUE!</v>
      </c>
      <c r="M14" s="44" t="e">
        <f t="shared" ca="1" si="14"/>
        <v>#VALUE!</v>
      </c>
      <c r="N14" s="44" t="e">
        <f t="shared" ca="1" si="14"/>
        <v>#VALUE!</v>
      </c>
      <c r="O14" s="44" t="e">
        <f t="shared" ca="1" si="14"/>
        <v>#VALUE!</v>
      </c>
      <c r="P14" s="44">
        <f t="shared" ca="1" si="14"/>
        <v>0</v>
      </c>
      <c r="Q14" s="45" t="e">
        <f t="shared" ca="1" si="13"/>
        <v>#DIV/0!</v>
      </c>
      <c r="R14" s="46"/>
      <c r="S14" s="46"/>
      <c r="T14" s="47"/>
      <c r="U14" s="47"/>
      <c r="V14" s="47"/>
      <c r="W14" s="47"/>
    </row>
    <row r="15" spans="1:23" ht="15" collapsed="1" x14ac:dyDescent="0.15">
      <c r="A15" s="42"/>
      <c r="B15" s="48" t="s">
        <v>5</v>
      </c>
      <c r="C15" s="49"/>
      <c r="D15" s="49">
        <f t="shared" ref="D15:O15" ca="1" si="15">SUM(D16:D21)</f>
        <v>0</v>
      </c>
      <c r="E15" s="49">
        <f t="shared" ca="1" si="15"/>
        <v>0</v>
      </c>
      <c r="F15" s="49">
        <f t="shared" ca="1" si="15"/>
        <v>0</v>
      </c>
      <c r="G15" s="49">
        <f t="shared" ca="1" si="15"/>
        <v>0</v>
      </c>
      <c r="H15" s="49">
        <f t="shared" ca="1" si="15"/>
        <v>0</v>
      </c>
      <c r="I15" s="49">
        <f t="shared" ca="1" si="15"/>
        <v>0</v>
      </c>
      <c r="J15" s="49">
        <f t="shared" ca="1" si="15"/>
        <v>0</v>
      </c>
      <c r="K15" s="49">
        <f t="shared" ca="1" si="15"/>
        <v>0</v>
      </c>
      <c r="L15" s="49">
        <f t="shared" ca="1" si="15"/>
        <v>0</v>
      </c>
      <c r="M15" s="49">
        <f t="shared" ca="1" si="15"/>
        <v>0</v>
      </c>
      <c r="N15" s="49">
        <f t="shared" ca="1" si="15"/>
        <v>0</v>
      </c>
      <c r="O15" s="49">
        <f t="shared" ca="1" si="15"/>
        <v>0</v>
      </c>
      <c r="P15" s="49">
        <f t="shared" ref="P15:P21" ca="1" si="16">SUM(D15:O15)</f>
        <v>0</v>
      </c>
      <c r="Q15" s="50" t="e">
        <f t="shared" ca="1" si="13"/>
        <v>#DIV/0!</v>
      </c>
      <c r="R15" s="46"/>
      <c r="S15" s="46"/>
      <c r="T15" s="47"/>
      <c r="U15" s="47"/>
      <c r="V15" s="47"/>
      <c r="W15" s="47"/>
    </row>
    <row r="16" spans="1:23" ht="15" hidden="1" outlineLevel="1" x14ac:dyDescent="0.2">
      <c r="A16" s="18"/>
      <c r="B16" s="1" t="str">
        <f ca="1">IFERROR(__xludf.DUMMYFUNCTION("iferror(filter('Статьи'!$A$1:$A167,'Статьи'!$B$1:$B167=$B$15))"),"Бонус агент")</f>
        <v>Бонус агент</v>
      </c>
      <c r="C16" s="38"/>
      <c r="D16" s="38" t="str">
        <f t="shared" ref="D16:O16" ca="1" si="17">IF($O$1,IFERROR(INDIRECT("'"&amp;D$2&amp;"'!"&amp;$D$1&amp;MATCH($B16,INDIRECT("'"&amp;D$2&amp;"'!B1:B"),0)),""),
IFERROR(INDIRECT("'"&amp;D$2&amp;"!"&amp;$D$1&amp;MATCH($B16,INDIRECT("'"&amp;D$2&amp;"'!B:B"),0)),""))</f>
        <v/>
      </c>
      <c r="E16" s="38" t="str">
        <f t="shared" ca="1" si="17"/>
        <v/>
      </c>
      <c r="F16" s="38" t="str">
        <f t="shared" ca="1" si="17"/>
        <v/>
      </c>
      <c r="G16" s="38" t="str">
        <f t="shared" ca="1" si="17"/>
        <v/>
      </c>
      <c r="H16" s="38" t="str">
        <f t="shared" ca="1" si="17"/>
        <v/>
      </c>
      <c r="I16" s="38" t="str">
        <f t="shared" ca="1" si="17"/>
        <v/>
      </c>
      <c r="J16" s="38" t="str">
        <f t="shared" ca="1" si="17"/>
        <v/>
      </c>
      <c r="K16" s="38" t="str">
        <f t="shared" ca="1" si="17"/>
        <v/>
      </c>
      <c r="L16" s="38" t="str">
        <f t="shared" ca="1" si="17"/>
        <v/>
      </c>
      <c r="M16" s="38" t="str">
        <f t="shared" ca="1" si="17"/>
        <v/>
      </c>
      <c r="N16" s="38" t="str">
        <f t="shared" ca="1" si="17"/>
        <v/>
      </c>
      <c r="O16" s="38" t="str">
        <f t="shared" ca="1" si="17"/>
        <v/>
      </c>
      <c r="P16" s="38">
        <f t="shared" ca="1" si="16"/>
        <v>0</v>
      </c>
      <c r="Q16" s="51" t="e">
        <f t="shared" ca="1" si="13"/>
        <v>#DIV/0!</v>
      </c>
      <c r="R16" s="52"/>
      <c r="S16" s="52"/>
      <c r="T16" s="53"/>
      <c r="U16" s="53"/>
      <c r="V16" s="53"/>
      <c r="W16" s="53"/>
    </row>
    <row r="17" spans="1:23" ht="15" hidden="1" outlineLevel="1" x14ac:dyDescent="0.2">
      <c r="A17" s="54"/>
      <c r="B17" s="55" t="str">
        <f ca="1">IFERROR(__xludf.DUMMYFUNCTION("""COMPUTED_VALUE"""),"Бонус РГ")</f>
        <v>Бонус РГ</v>
      </c>
      <c r="C17" s="38"/>
      <c r="D17" s="38" t="str">
        <f t="shared" ref="D17:O17" ca="1" si="18">IF($O$1,IFERROR(INDIRECT("'"&amp;D$2&amp;"'!"&amp;$D$1&amp;MATCH($B17,INDIRECT("'"&amp;D$2&amp;"'!B1:B"),0)),""),
IFERROR(INDIRECT("'"&amp;D$2&amp;"!"&amp;$D$1&amp;MATCH($B17,INDIRECT("'"&amp;D$2&amp;"'!B:B"),0)),""))</f>
        <v/>
      </c>
      <c r="E17" s="38" t="str">
        <f t="shared" ca="1" si="18"/>
        <v/>
      </c>
      <c r="F17" s="38" t="str">
        <f t="shared" ca="1" si="18"/>
        <v/>
      </c>
      <c r="G17" s="38" t="str">
        <f t="shared" ca="1" si="18"/>
        <v/>
      </c>
      <c r="H17" s="38" t="str">
        <f t="shared" ca="1" si="18"/>
        <v/>
      </c>
      <c r="I17" s="38" t="str">
        <f t="shared" ca="1" si="18"/>
        <v/>
      </c>
      <c r="J17" s="38" t="str">
        <f t="shared" ca="1" si="18"/>
        <v/>
      </c>
      <c r="K17" s="38" t="str">
        <f t="shared" ca="1" si="18"/>
        <v/>
      </c>
      <c r="L17" s="38" t="str">
        <f t="shared" ca="1" si="18"/>
        <v/>
      </c>
      <c r="M17" s="38" t="str">
        <f t="shared" ca="1" si="18"/>
        <v/>
      </c>
      <c r="N17" s="38" t="str">
        <f t="shared" ca="1" si="18"/>
        <v/>
      </c>
      <c r="O17" s="38" t="str">
        <f t="shared" ca="1" si="18"/>
        <v/>
      </c>
      <c r="P17" s="38">
        <f t="shared" ca="1" si="16"/>
        <v>0</v>
      </c>
      <c r="Q17" s="51" t="e">
        <f t="shared" ca="1" si="13"/>
        <v>#DIV/0!</v>
      </c>
      <c r="R17" s="52"/>
      <c r="S17" s="52"/>
      <c r="T17" s="53"/>
      <c r="U17" s="53"/>
      <c r="V17" s="53"/>
      <c r="W17" s="53"/>
    </row>
    <row r="18" spans="1:23" ht="15" hidden="1" outlineLevel="1" x14ac:dyDescent="0.2">
      <c r="A18" s="56"/>
      <c r="B18" s="57" t="str">
        <f ca="1">IFERROR(__xludf.DUMMYFUNCTION("""COMPUTED_VALUE"""),"Бонус юрист")</f>
        <v>Бонус юрист</v>
      </c>
      <c r="C18" s="38"/>
      <c r="D18" s="38" t="str">
        <f t="shared" ref="D18:O18" ca="1" si="19">IF($O$1,IFERROR(INDIRECT("'"&amp;D$2&amp;"'!"&amp;$D$1&amp;MATCH($B18,INDIRECT("'"&amp;D$2&amp;"'!B1:B"),0)),""),
IFERROR(INDIRECT("'"&amp;D$2&amp;"!"&amp;$D$1&amp;MATCH($B18,INDIRECT("'"&amp;D$2&amp;"'!B:B"),0)),""))</f>
        <v/>
      </c>
      <c r="E18" s="38" t="str">
        <f t="shared" ca="1" si="19"/>
        <v/>
      </c>
      <c r="F18" s="38" t="str">
        <f t="shared" ca="1" si="19"/>
        <v/>
      </c>
      <c r="G18" s="38" t="str">
        <f t="shared" ca="1" si="19"/>
        <v/>
      </c>
      <c r="H18" s="38" t="str">
        <f t="shared" ca="1" si="19"/>
        <v/>
      </c>
      <c r="I18" s="38" t="str">
        <f t="shared" ca="1" si="19"/>
        <v/>
      </c>
      <c r="J18" s="38" t="str">
        <f t="shared" ca="1" si="19"/>
        <v/>
      </c>
      <c r="K18" s="38" t="str">
        <f t="shared" ca="1" si="19"/>
        <v/>
      </c>
      <c r="L18" s="38" t="str">
        <f t="shared" ca="1" si="19"/>
        <v/>
      </c>
      <c r="M18" s="38" t="str">
        <f t="shared" ca="1" si="19"/>
        <v/>
      </c>
      <c r="N18" s="38" t="str">
        <f t="shared" ca="1" si="19"/>
        <v/>
      </c>
      <c r="O18" s="38" t="str">
        <f t="shared" ca="1" si="19"/>
        <v/>
      </c>
      <c r="P18" s="38">
        <f t="shared" ca="1" si="16"/>
        <v>0</v>
      </c>
      <c r="Q18" s="51" t="e">
        <f t="shared" ca="1" si="13"/>
        <v>#DIV/0!</v>
      </c>
      <c r="R18" s="52"/>
      <c r="S18" s="52"/>
      <c r="T18" s="53"/>
      <c r="U18" s="53"/>
      <c r="V18" s="53"/>
      <c r="W18" s="53"/>
    </row>
    <row r="19" spans="1:23" ht="15" hidden="1" outlineLevel="1" x14ac:dyDescent="0.2">
      <c r="A19" s="56"/>
      <c r="B19" s="57" t="str">
        <f ca="1">IFERROR(__xludf.DUMMYFUNCTION("""COMPUTED_VALUE"""),"Затраты по сделке")</f>
        <v>Затраты по сделке</v>
      </c>
      <c r="C19" s="38"/>
      <c r="D19" s="38" t="str">
        <f t="shared" ref="D19:O19" ca="1" si="20">IF($O$1,IFERROR(INDIRECT("'"&amp;D$2&amp;"'!"&amp;$D$1&amp;MATCH($B19,INDIRECT("'"&amp;D$2&amp;"'!B1:B"),0)),""),
IFERROR(INDIRECT("'"&amp;D$2&amp;"!"&amp;$D$1&amp;MATCH($B19,INDIRECT("'"&amp;D$2&amp;"'!B:B"),0)),""))</f>
        <v/>
      </c>
      <c r="E19" s="38" t="str">
        <f t="shared" ca="1" si="20"/>
        <v/>
      </c>
      <c r="F19" s="38" t="str">
        <f t="shared" ca="1" si="20"/>
        <v/>
      </c>
      <c r="G19" s="38" t="str">
        <f t="shared" ca="1" si="20"/>
        <v/>
      </c>
      <c r="H19" s="38" t="str">
        <f t="shared" ca="1" si="20"/>
        <v/>
      </c>
      <c r="I19" s="38" t="str">
        <f t="shared" ca="1" si="20"/>
        <v/>
      </c>
      <c r="J19" s="38" t="str">
        <f t="shared" ca="1" si="20"/>
        <v/>
      </c>
      <c r="K19" s="38" t="str">
        <f t="shared" ca="1" si="20"/>
        <v/>
      </c>
      <c r="L19" s="38" t="str">
        <f t="shared" ca="1" si="20"/>
        <v/>
      </c>
      <c r="M19" s="38" t="str">
        <f t="shared" ca="1" si="20"/>
        <v/>
      </c>
      <c r="N19" s="38" t="str">
        <f t="shared" ca="1" si="20"/>
        <v/>
      </c>
      <c r="O19" s="38" t="str">
        <f t="shared" ca="1" si="20"/>
        <v/>
      </c>
      <c r="P19" s="38">
        <f t="shared" ca="1" si="16"/>
        <v>0</v>
      </c>
      <c r="Q19" s="51" t="e">
        <f t="shared" ca="1" si="13"/>
        <v>#DIV/0!</v>
      </c>
      <c r="R19" s="52"/>
      <c r="S19" s="52"/>
      <c r="T19" s="53"/>
      <c r="U19" s="53"/>
      <c r="V19" s="53"/>
      <c r="W19" s="53"/>
    </row>
    <row r="20" spans="1:23" ht="15" hidden="1" outlineLevel="1" x14ac:dyDescent="0.2">
      <c r="A20" s="54"/>
      <c r="B20" s="58" t="str">
        <f ca="1">IFERROR(__xludf.DUMMYFUNCTION("""COMPUTED_VALUE"""),"Бонус директор/РОП")</f>
        <v>Бонус директор/РОП</v>
      </c>
      <c r="C20" s="59"/>
      <c r="D20" s="38" t="str">
        <f t="shared" ref="D20:O20" ca="1" si="21">IF($O$1,IFERROR(INDIRECT("'"&amp;D$2&amp;"'!"&amp;$D$1&amp;MATCH($B20,INDIRECT("'"&amp;D$2&amp;"'!B1:B"),0)),""),
IFERROR(INDIRECT("'"&amp;D$2&amp;"!"&amp;$D$1&amp;MATCH($B20,INDIRECT("'"&amp;D$2&amp;"'!B:B"),0)),""))</f>
        <v/>
      </c>
      <c r="E20" s="38" t="str">
        <f t="shared" ca="1" si="21"/>
        <v/>
      </c>
      <c r="F20" s="38" t="str">
        <f t="shared" ca="1" si="21"/>
        <v/>
      </c>
      <c r="G20" s="38" t="str">
        <f t="shared" ca="1" si="21"/>
        <v/>
      </c>
      <c r="H20" s="38" t="str">
        <f t="shared" ca="1" si="21"/>
        <v/>
      </c>
      <c r="I20" s="38" t="str">
        <f t="shared" ca="1" si="21"/>
        <v/>
      </c>
      <c r="J20" s="38" t="str">
        <f t="shared" ca="1" si="21"/>
        <v/>
      </c>
      <c r="K20" s="38" t="str">
        <f t="shared" ca="1" si="21"/>
        <v/>
      </c>
      <c r="L20" s="38" t="str">
        <f t="shared" ca="1" si="21"/>
        <v/>
      </c>
      <c r="M20" s="38" t="str">
        <f t="shared" ca="1" si="21"/>
        <v/>
      </c>
      <c r="N20" s="38" t="str">
        <f t="shared" ca="1" si="21"/>
        <v/>
      </c>
      <c r="O20" s="38" t="str">
        <f t="shared" ca="1" si="21"/>
        <v/>
      </c>
      <c r="P20" s="38">
        <f t="shared" ca="1" si="16"/>
        <v>0</v>
      </c>
      <c r="Q20" s="51" t="e">
        <f t="shared" ca="1" si="13"/>
        <v>#DIV/0!</v>
      </c>
      <c r="R20" s="52"/>
      <c r="S20" s="52"/>
      <c r="T20" s="53"/>
      <c r="U20" s="53"/>
      <c r="V20" s="53"/>
      <c r="W20" s="53"/>
    </row>
    <row r="21" spans="1:23" ht="15" hidden="1" outlineLevel="1" x14ac:dyDescent="0.2">
      <c r="A21" s="54"/>
      <c r="B21" s="58" t="str">
        <f ca="1">IFERROR(__xludf.DUMMYFUNCTION("""COMPUTED_VALUE"""),"Возврат")</f>
        <v>Возврат</v>
      </c>
      <c r="C21" s="59"/>
      <c r="D21" s="38" t="str">
        <f t="shared" ref="D21:O21" ca="1" si="22">IF($O$1,IFERROR(INDIRECT("'"&amp;D$2&amp;"'!"&amp;$D$1&amp;MATCH($B21,INDIRECT("'"&amp;D$2&amp;"'!B1:B"),0)),""),
IFERROR(INDIRECT("'"&amp;D$2&amp;"!"&amp;$D$1&amp;MATCH($B21,INDIRECT("'"&amp;D$2&amp;"'!B:B"),0)),""))</f>
        <v/>
      </c>
      <c r="E21" s="38" t="str">
        <f t="shared" ca="1" si="22"/>
        <v/>
      </c>
      <c r="F21" s="38" t="str">
        <f t="shared" ca="1" si="22"/>
        <v/>
      </c>
      <c r="G21" s="38" t="str">
        <f t="shared" ca="1" si="22"/>
        <v/>
      </c>
      <c r="H21" s="38" t="str">
        <f t="shared" ca="1" si="22"/>
        <v/>
      </c>
      <c r="I21" s="38" t="str">
        <f t="shared" ca="1" si="22"/>
        <v/>
      </c>
      <c r="J21" s="38" t="str">
        <f t="shared" ca="1" si="22"/>
        <v/>
      </c>
      <c r="K21" s="38" t="str">
        <f t="shared" ca="1" si="22"/>
        <v/>
      </c>
      <c r="L21" s="38" t="str">
        <f t="shared" ca="1" si="22"/>
        <v/>
      </c>
      <c r="M21" s="38" t="str">
        <f t="shared" ca="1" si="22"/>
        <v/>
      </c>
      <c r="N21" s="38" t="str">
        <f t="shared" ca="1" si="22"/>
        <v/>
      </c>
      <c r="O21" s="38" t="str">
        <f t="shared" ca="1" si="22"/>
        <v/>
      </c>
      <c r="P21" s="38">
        <f t="shared" ca="1" si="16"/>
        <v>0</v>
      </c>
      <c r="Q21" s="51" t="e">
        <f t="shared" ca="1" si="13"/>
        <v>#DIV/0!</v>
      </c>
      <c r="R21" s="52"/>
      <c r="S21" s="52"/>
      <c r="T21" s="53"/>
      <c r="U21" s="53"/>
      <c r="V21" s="53"/>
      <c r="W21" s="53"/>
    </row>
    <row r="22" spans="1:23" ht="15" x14ac:dyDescent="0.2">
      <c r="A22" s="60"/>
      <c r="B22" s="61" t="s">
        <v>6</v>
      </c>
      <c r="C22" s="62"/>
      <c r="D22" s="63" t="e">
        <f t="shared" ref="D22:P22" ca="1" si="23">D4-D13-D15</f>
        <v>#VALUE!</v>
      </c>
      <c r="E22" s="63" t="e">
        <f t="shared" ca="1" si="23"/>
        <v>#VALUE!</v>
      </c>
      <c r="F22" s="63" t="e">
        <f t="shared" ca="1" si="23"/>
        <v>#VALUE!</v>
      </c>
      <c r="G22" s="63" t="e">
        <f t="shared" ca="1" si="23"/>
        <v>#VALUE!</v>
      </c>
      <c r="H22" s="63" t="e">
        <f t="shared" ca="1" si="23"/>
        <v>#VALUE!</v>
      </c>
      <c r="I22" s="63" t="e">
        <f t="shared" ca="1" si="23"/>
        <v>#VALUE!</v>
      </c>
      <c r="J22" s="63" t="e">
        <f t="shared" ca="1" si="23"/>
        <v>#VALUE!</v>
      </c>
      <c r="K22" s="63" t="e">
        <f t="shared" ca="1" si="23"/>
        <v>#VALUE!</v>
      </c>
      <c r="L22" s="63" t="e">
        <f t="shared" ca="1" si="23"/>
        <v>#VALUE!</v>
      </c>
      <c r="M22" s="63" t="e">
        <f t="shared" ca="1" si="23"/>
        <v>#VALUE!</v>
      </c>
      <c r="N22" s="63" t="e">
        <f t="shared" ca="1" si="23"/>
        <v>#VALUE!</v>
      </c>
      <c r="O22" s="63" t="e">
        <f t="shared" ca="1" si="23"/>
        <v>#VALUE!</v>
      </c>
      <c r="P22" s="64">
        <f t="shared" ca="1" si="23"/>
        <v>0</v>
      </c>
      <c r="Q22" s="65"/>
      <c r="R22" s="52"/>
      <c r="S22" s="52"/>
      <c r="T22" s="53"/>
      <c r="U22" s="53"/>
      <c r="V22" s="53"/>
      <c r="W22" s="53"/>
    </row>
    <row r="23" spans="1:23" ht="18" customHeight="1" x14ac:dyDescent="0.2">
      <c r="A23" s="66"/>
      <c r="B23" s="67" t="s">
        <v>23</v>
      </c>
      <c r="C23" s="59"/>
      <c r="D23" s="51" t="e">
        <f t="shared" ref="D23:P23" ca="1" si="24">D22/D4</f>
        <v>#VALUE!</v>
      </c>
      <c r="E23" s="51" t="e">
        <f t="shared" ca="1" si="24"/>
        <v>#VALUE!</v>
      </c>
      <c r="F23" s="51" t="e">
        <f t="shared" ca="1" si="24"/>
        <v>#VALUE!</v>
      </c>
      <c r="G23" s="51" t="e">
        <f t="shared" ca="1" si="24"/>
        <v>#VALUE!</v>
      </c>
      <c r="H23" s="51" t="e">
        <f t="shared" ca="1" si="24"/>
        <v>#VALUE!</v>
      </c>
      <c r="I23" s="51" t="e">
        <f t="shared" ca="1" si="24"/>
        <v>#VALUE!</v>
      </c>
      <c r="J23" s="51" t="e">
        <f t="shared" ca="1" si="24"/>
        <v>#VALUE!</v>
      </c>
      <c r="K23" s="51" t="e">
        <f t="shared" ca="1" si="24"/>
        <v>#VALUE!</v>
      </c>
      <c r="L23" s="51" t="e">
        <f t="shared" ca="1" si="24"/>
        <v>#VALUE!</v>
      </c>
      <c r="M23" s="51" t="e">
        <f t="shared" ca="1" si="24"/>
        <v>#VALUE!</v>
      </c>
      <c r="N23" s="51" t="e">
        <f t="shared" ca="1" si="24"/>
        <v>#VALUE!</v>
      </c>
      <c r="O23" s="51" t="e">
        <f t="shared" ca="1" si="24"/>
        <v>#VALUE!</v>
      </c>
      <c r="P23" s="51" t="e">
        <f t="shared" ca="1" si="24"/>
        <v>#DIV/0!</v>
      </c>
      <c r="Q23" s="51"/>
      <c r="R23" s="52"/>
      <c r="S23" s="52"/>
      <c r="T23" s="53"/>
      <c r="U23" s="53"/>
      <c r="V23" s="53"/>
      <c r="W23" s="53"/>
    </row>
    <row r="24" spans="1:23" ht="15" collapsed="1" x14ac:dyDescent="0.2">
      <c r="A24" s="42"/>
      <c r="B24" s="48" t="s">
        <v>7</v>
      </c>
      <c r="C24" s="68"/>
      <c r="D24" s="68" t="str">
        <f t="shared" ref="D24:O24" ca="1" si="25">IF($O$1,IFERROR(INDIRECT("'"&amp;D$2&amp;"'!"&amp;$D$1&amp;MATCH($B24,INDIRECT("'"&amp;D$2&amp;"'!B1:B"),0)),""),
IFERROR(INDIRECT("'"&amp;D$2&amp;"!"&amp;$D$1&amp;MATCH($B24,INDIRECT("'"&amp;D$2&amp;"'!B:B"),0)),""))</f>
        <v/>
      </c>
      <c r="E24" s="68" t="str">
        <f t="shared" ca="1" si="25"/>
        <v/>
      </c>
      <c r="F24" s="68" t="str">
        <f t="shared" ca="1" si="25"/>
        <v/>
      </c>
      <c r="G24" s="68" t="str">
        <f t="shared" ca="1" si="25"/>
        <v/>
      </c>
      <c r="H24" s="68" t="str">
        <f t="shared" ca="1" si="25"/>
        <v/>
      </c>
      <c r="I24" s="68" t="str">
        <f t="shared" ca="1" si="25"/>
        <v/>
      </c>
      <c r="J24" s="68" t="str">
        <f t="shared" ca="1" si="25"/>
        <v/>
      </c>
      <c r="K24" s="68" t="str">
        <f t="shared" ca="1" si="25"/>
        <v/>
      </c>
      <c r="L24" s="68" t="str">
        <f t="shared" ca="1" si="25"/>
        <v/>
      </c>
      <c r="M24" s="68" t="str">
        <f t="shared" ca="1" si="25"/>
        <v/>
      </c>
      <c r="N24" s="68" t="str">
        <f t="shared" ca="1" si="25"/>
        <v/>
      </c>
      <c r="O24" s="68" t="str">
        <f t="shared" ca="1" si="25"/>
        <v/>
      </c>
      <c r="P24" s="68">
        <f t="shared" ref="P24:P42" ca="1" si="26">SUM(D24:O24)</f>
        <v>0</v>
      </c>
      <c r="Q24" s="69" t="e">
        <f t="shared" ref="Q24:Q28" ca="1" si="27">P24/$P$4</f>
        <v>#DIV/0!</v>
      </c>
      <c r="R24" s="52"/>
      <c r="S24" s="70"/>
      <c r="T24" s="71"/>
      <c r="U24" s="53"/>
      <c r="V24" s="53"/>
      <c r="W24" s="53"/>
    </row>
    <row r="25" spans="1:23" ht="15" hidden="1" outlineLevel="1" x14ac:dyDescent="0.2">
      <c r="A25" s="18"/>
      <c r="B25" s="1" t="str">
        <f ca="1">IFERROR(__xludf.DUMMYFUNCTION("IFERROR(filter('Статьи'!$A$1:$A167,'Статьи'!$B$1:$B167=$B$24))"),"Рекламный бюджет")</f>
        <v>Рекламный бюджет</v>
      </c>
      <c r="C25" s="38"/>
      <c r="D25" s="38" t="str">
        <f t="shared" ref="D25:O25" ca="1" si="28">IF($O$1,IFERROR(INDIRECT("'"&amp;D$2&amp;"'!"&amp;$D$1&amp;MATCH($B25,INDIRECT("'"&amp;D$2&amp;"'!B1:B"),0)),""),
IFERROR(INDIRECT("'"&amp;D$2&amp;"!"&amp;$D$1&amp;MATCH($B25,INDIRECT("'"&amp;D$2&amp;"'!B:B"),0)),""))</f>
        <v/>
      </c>
      <c r="E25" s="38" t="str">
        <f t="shared" ca="1" si="28"/>
        <v/>
      </c>
      <c r="F25" s="38" t="str">
        <f t="shared" ca="1" si="28"/>
        <v/>
      </c>
      <c r="G25" s="38" t="str">
        <f t="shared" ca="1" si="28"/>
        <v/>
      </c>
      <c r="H25" s="38" t="str">
        <f t="shared" ca="1" si="28"/>
        <v/>
      </c>
      <c r="I25" s="38" t="str">
        <f t="shared" ca="1" si="28"/>
        <v/>
      </c>
      <c r="J25" s="38" t="str">
        <f t="shared" ca="1" si="28"/>
        <v/>
      </c>
      <c r="K25" s="38" t="str">
        <f t="shared" ca="1" si="28"/>
        <v/>
      </c>
      <c r="L25" s="38" t="str">
        <f t="shared" ca="1" si="28"/>
        <v/>
      </c>
      <c r="M25" s="38" t="str">
        <f t="shared" ca="1" si="28"/>
        <v/>
      </c>
      <c r="N25" s="38" t="str">
        <f t="shared" ca="1" si="28"/>
        <v/>
      </c>
      <c r="O25" s="38" t="str">
        <f t="shared" ca="1" si="28"/>
        <v/>
      </c>
      <c r="P25" s="38">
        <f t="shared" ca="1" si="26"/>
        <v>0</v>
      </c>
      <c r="Q25" s="51" t="e">
        <f t="shared" ca="1" si="27"/>
        <v>#DIV/0!</v>
      </c>
      <c r="R25" s="52"/>
      <c r="S25" s="72"/>
      <c r="T25" s="73"/>
      <c r="U25" s="53"/>
      <c r="V25" s="53"/>
      <c r="W25" s="53"/>
    </row>
    <row r="26" spans="1:23" ht="16" hidden="1" outlineLevel="1" x14ac:dyDescent="0.2">
      <c r="A26" s="74"/>
      <c r="B26" s="75" t="str">
        <f ca="1">IFERROR(__xludf.DUMMYFUNCTION("""COMPUTED_VALUE"""),"Программы, сайты, боты для рекламы")</f>
        <v>Программы, сайты, боты для рекламы</v>
      </c>
      <c r="C26" s="38"/>
      <c r="D26" s="38" t="str">
        <f t="shared" ref="D26:O26" ca="1" si="29">IF($O$1,IFERROR(INDIRECT("'"&amp;D$2&amp;"'!"&amp;$D$1&amp;MATCH($B26,INDIRECT("'"&amp;D$2&amp;"'!B1:B"),0)),""),
IFERROR(INDIRECT("'"&amp;D$2&amp;"!"&amp;$D$1&amp;MATCH($B26,INDIRECT("'"&amp;D$2&amp;"'!B:B"),0)),""))</f>
        <v/>
      </c>
      <c r="E26" s="38" t="str">
        <f t="shared" ca="1" si="29"/>
        <v/>
      </c>
      <c r="F26" s="38" t="str">
        <f t="shared" ca="1" si="29"/>
        <v/>
      </c>
      <c r="G26" s="38" t="str">
        <f t="shared" ca="1" si="29"/>
        <v/>
      </c>
      <c r="H26" s="38" t="str">
        <f t="shared" ca="1" si="29"/>
        <v/>
      </c>
      <c r="I26" s="38" t="str">
        <f t="shared" ca="1" si="29"/>
        <v/>
      </c>
      <c r="J26" s="38" t="str">
        <f t="shared" ca="1" si="29"/>
        <v/>
      </c>
      <c r="K26" s="38" t="str">
        <f t="shared" ca="1" si="29"/>
        <v/>
      </c>
      <c r="L26" s="38" t="str">
        <f t="shared" ca="1" si="29"/>
        <v/>
      </c>
      <c r="M26" s="38" t="str">
        <f t="shared" ca="1" si="29"/>
        <v/>
      </c>
      <c r="N26" s="38" t="str">
        <f t="shared" ca="1" si="29"/>
        <v/>
      </c>
      <c r="O26" s="38" t="str">
        <f t="shared" ca="1" si="29"/>
        <v/>
      </c>
      <c r="P26" s="38">
        <f t="shared" ca="1" si="26"/>
        <v>0</v>
      </c>
      <c r="Q26" s="51" t="e">
        <f t="shared" ca="1" si="27"/>
        <v>#DIV/0!</v>
      </c>
      <c r="R26" s="76"/>
      <c r="S26" s="76"/>
      <c r="T26" s="77"/>
      <c r="U26" s="77"/>
      <c r="V26" s="77"/>
      <c r="W26" s="77"/>
    </row>
    <row r="27" spans="1:23" ht="16" hidden="1" outlineLevel="1" x14ac:dyDescent="0.2">
      <c r="A27" s="56"/>
      <c r="B27" s="57" t="str">
        <f ca="1">IFERROR(__xludf.DUMMYFUNCTION("""COMPUTED_VALUE"""),"Бонус директолог")</f>
        <v>Бонус директолог</v>
      </c>
      <c r="C27" s="38"/>
      <c r="D27" s="38" t="str">
        <f t="shared" ref="D27:O27" ca="1" si="30">IF($O$1,IFERROR(INDIRECT("'"&amp;D$2&amp;"'!"&amp;$D$1&amp;MATCH($B27,INDIRECT("'"&amp;D$2&amp;"'!B1:B"),0)),""),
IFERROR(INDIRECT("'"&amp;D$2&amp;"!"&amp;$D$1&amp;MATCH($B27,INDIRECT("'"&amp;D$2&amp;"'!B:B"),0)),""))</f>
        <v/>
      </c>
      <c r="E27" s="38" t="str">
        <f t="shared" ca="1" si="30"/>
        <v/>
      </c>
      <c r="F27" s="38" t="str">
        <f t="shared" ca="1" si="30"/>
        <v/>
      </c>
      <c r="G27" s="38" t="str">
        <f t="shared" ca="1" si="30"/>
        <v/>
      </c>
      <c r="H27" s="38" t="str">
        <f t="shared" ca="1" si="30"/>
        <v/>
      </c>
      <c r="I27" s="38" t="str">
        <f t="shared" ca="1" si="30"/>
        <v/>
      </c>
      <c r="J27" s="38" t="str">
        <f t="shared" ca="1" si="30"/>
        <v/>
      </c>
      <c r="K27" s="38" t="str">
        <f t="shared" ca="1" si="30"/>
        <v/>
      </c>
      <c r="L27" s="38" t="str">
        <f t="shared" ca="1" si="30"/>
        <v/>
      </c>
      <c r="M27" s="38" t="str">
        <f t="shared" ca="1" si="30"/>
        <v/>
      </c>
      <c r="N27" s="38" t="str">
        <f t="shared" ca="1" si="30"/>
        <v/>
      </c>
      <c r="O27" s="38" t="str">
        <f t="shared" ca="1" si="30"/>
        <v/>
      </c>
      <c r="P27" s="38">
        <f t="shared" ca="1" si="26"/>
        <v>0</v>
      </c>
      <c r="Q27" s="51" t="e">
        <f t="shared" ca="1" si="27"/>
        <v>#DIV/0!</v>
      </c>
      <c r="R27" s="78"/>
      <c r="S27" s="78"/>
      <c r="T27" s="77"/>
      <c r="U27" s="77"/>
      <c r="V27" s="77"/>
      <c r="W27" s="77"/>
    </row>
    <row r="28" spans="1:23" ht="16" hidden="1" outlineLevel="1" x14ac:dyDescent="0.2">
      <c r="A28" s="56"/>
      <c r="B28" s="57" t="str">
        <f ca="1">IFERROR(__xludf.DUMMYFUNCTION("""COMPUTED_VALUE"""),"Бонус РОМ")</f>
        <v>Бонус РОМ</v>
      </c>
      <c r="C28" s="38"/>
      <c r="D28" s="38" t="str">
        <f t="shared" ref="D28:O28" ca="1" si="31">IF($O$1,IFERROR(INDIRECT("'"&amp;D$2&amp;"'!"&amp;$D$1&amp;MATCH($B28,INDIRECT("'"&amp;D$2&amp;"'!B1:B"),0)),""),
IFERROR(INDIRECT("'"&amp;D$2&amp;"!"&amp;$D$1&amp;MATCH($B28,INDIRECT("'"&amp;D$2&amp;"'!B:B"),0)),""))</f>
        <v/>
      </c>
      <c r="E28" s="38" t="str">
        <f t="shared" ca="1" si="31"/>
        <v/>
      </c>
      <c r="F28" s="38" t="str">
        <f t="shared" ca="1" si="31"/>
        <v/>
      </c>
      <c r="G28" s="38" t="str">
        <f t="shared" ca="1" si="31"/>
        <v/>
      </c>
      <c r="H28" s="38" t="str">
        <f t="shared" ca="1" si="31"/>
        <v/>
      </c>
      <c r="I28" s="38" t="str">
        <f t="shared" ca="1" si="31"/>
        <v/>
      </c>
      <c r="J28" s="38" t="str">
        <f t="shared" ca="1" si="31"/>
        <v/>
      </c>
      <c r="K28" s="38" t="str">
        <f t="shared" ca="1" si="31"/>
        <v/>
      </c>
      <c r="L28" s="38" t="str">
        <f t="shared" ca="1" si="31"/>
        <v/>
      </c>
      <c r="M28" s="38" t="str">
        <f t="shared" ca="1" si="31"/>
        <v/>
      </c>
      <c r="N28" s="38" t="str">
        <f t="shared" ca="1" si="31"/>
        <v/>
      </c>
      <c r="O28" s="38" t="str">
        <f t="shared" ca="1" si="31"/>
        <v/>
      </c>
      <c r="P28" s="38">
        <f t="shared" ca="1" si="26"/>
        <v>0</v>
      </c>
      <c r="Q28" s="51" t="e">
        <f t="shared" ca="1" si="27"/>
        <v>#DIV/0!</v>
      </c>
      <c r="R28" s="78"/>
      <c r="S28" s="78"/>
      <c r="T28" s="77"/>
      <c r="U28" s="77"/>
      <c r="V28" s="77"/>
      <c r="W28" s="77"/>
    </row>
    <row r="29" spans="1:23" ht="16" hidden="1" x14ac:dyDescent="0.2">
      <c r="A29" s="56"/>
      <c r="B29" s="57"/>
      <c r="C29" s="20"/>
      <c r="D29" s="20" t="str">
        <f t="shared" ref="D29:O29" ca="1" si="32">IF($O$1,IFERROR(INDIRECT("'"&amp;D$2&amp;"'!"&amp;$D$1&amp;MATCH($B29,INDIRECT("'"&amp;D$2&amp;"'!B1:B"),0)),""),
IFERROR(INDIRECT("'"&amp;D$2&amp;"!"&amp;$D$1&amp;MATCH($B29,INDIRECT("'"&amp;D$2&amp;"'!B:B"),0)),""))</f>
        <v/>
      </c>
      <c r="E29" s="20" t="str">
        <f t="shared" ca="1" si="32"/>
        <v/>
      </c>
      <c r="F29" s="20" t="str">
        <f t="shared" ca="1" si="32"/>
        <v/>
      </c>
      <c r="G29" s="20" t="str">
        <f t="shared" ca="1" si="32"/>
        <v/>
      </c>
      <c r="H29" s="20" t="str">
        <f t="shared" ca="1" si="32"/>
        <v/>
      </c>
      <c r="I29" s="20" t="str">
        <f t="shared" ca="1" si="32"/>
        <v/>
      </c>
      <c r="J29" s="20" t="str">
        <f t="shared" ca="1" si="32"/>
        <v/>
      </c>
      <c r="K29" s="20" t="str">
        <f t="shared" ca="1" si="32"/>
        <v/>
      </c>
      <c r="L29" s="20" t="str">
        <f t="shared" ca="1" si="32"/>
        <v/>
      </c>
      <c r="M29" s="20" t="str">
        <f t="shared" ca="1" si="32"/>
        <v/>
      </c>
      <c r="N29" s="20" t="str">
        <f t="shared" ca="1" si="32"/>
        <v/>
      </c>
      <c r="O29" s="20" t="str">
        <f t="shared" ca="1" si="32"/>
        <v/>
      </c>
      <c r="P29" s="20">
        <f t="shared" ca="1" si="26"/>
        <v>0</v>
      </c>
      <c r="Q29" s="32"/>
      <c r="R29" s="79"/>
      <c r="S29" s="79"/>
      <c r="T29" s="34"/>
      <c r="U29" s="34"/>
      <c r="V29" s="34"/>
      <c r="W29" s="34"/>
    </row>
    <row r="30" spans="1:23" ht="16" hidden="1" x14ac:dyDescent="0.2">
      <c r="A30" s="56"/>
      <c r="B30" s="57"/>
      <c r="C30" s="20"/>
      <c r="D30" s="20" t="str">
        <f t="shared" ref="D30:O30" ca="1" si="33">IF($O$1,IFERROR(INDIRECT("'"&amp;D$2&amp;"'!"&amp;$D$1&amp;MATCH($B30,INDIRECT("'"&amp;D$2&amp;"'!B1:B"),0)),""),
IFERROR(INDIRECT("'"&amp;D$2&amp;"!"&amp;$D$1&amp;MATCH($B30,INDIRECT("'"&amp;D$2&amp;"'!B:B"),0)),""))</f>
        <v/>
      </c>
      <c r="E30" s="20" t="str">
        <f t="shared" ca="1" si="33"/>
        <v/>
      </c>
      <c r="F30" s="20" t="str">
        <f t="shared" ca="1" si="33"/>
        <v/>
      </c>
      <c r="G30" s="20" t="str">
        <f t="shared" ca="1" si="33"/>
        <v/>
      </c>
      <c r="H30" s="20" t="str">
        <f t="shared" ca="1" si="33"/>
        <v/>
      </c>
      <c r="I30" s="20" t="str">
        <f t="shared" ca="1" si="33"/>
        <v/>
      </c>
      <c r="J30" s="20" t="str">
        <f t="shared" ca="1" si="33"/>
        <v/>
      </c>
      <c r="K30" s="20" t="str">
        <f t="shared" ca="1" si="33"/>
        <v/>
      </c>
      <c r="L30" s="20" t="str">
        <f t="shared" ca="1" si="33"/>
        <v/>
      </c>
      <c r="M30" s="20" t="str">
        <f t="shared" ca="1" si="33"/>
        <v/>
      </c>
      <c r="N30" s="20" t="str">
        <f t="shared" ca="1" si="33"/>
        <v/>
      </c>
      <c r="O30" s="20" t="str">
        <f t="shared" ca="1" si="33"/>
        <v/>
      </c>
      <c r="P30" s="20">
        <f t="shared" ca="1" si="26"/>
        <v>0</v>
      </c>
      <c r="Q30" s="32"/>
      <c r="R30" s="79"/>
      <c r="S30" s="79"/>
      <c r="T30" s="34"/>
      <c r="U30" s="34"/>
      <c r="V30" s="34"/>
      <c r="W30" s="34"/>
    </row>
    <row r="31" spans="1:23" ht="16" hidden="1" x14ac:dyDescent="0.2">
      <c r="A31" s="54"/>
      <c r="B31" s="55"/>
      <c r="C31" s="20"/>
      <c r="D31" s="20" t="str">
        <f t="shared" ref="D31:O31" ca="1" si="34">IF($O$1,IFERROR(INDIRECT("'"&amp;D$2&amp;"'!"&amp;$D$1&amp;MATCH($B31,INDIRECT("'"&amp;D$2&amp;"'!B1:B"),0)),""),
IFERROR(INDIRECT("'"&amp;D$2&amp;"!"&amp;$D$1&amp;MATCH($B31,INDIRECT("'"&amp;D$2&amp;"'!B:B"),0)),""))</f>
        <v/>
      </c>
      <c r="E31" s="20" t="str">
        <f t="shared" ca="1" si="34"/>
        <v/>
      </c>
      <c r="F31" s="20" t="str">
        <f t="shared" ca="1" si="34"/>
        <v/>
      </c>
      <c r="G31" s="20" t="str">
        <f t="shared" ca="1" si="34"/>
        <v/>
      </c>
      <c r="H31" s="20" t="str">
        <f t="shared" ca="1" si="34"/>
        <v/>
      </c>
      <c r="I31" s="20" t="str">
        <f t="shared" ca="1" si="34"/>
        <v/>
      </c>
      <c r="J31" s="20" t="str">
        <f t="shared" ca="1" si="34"/>
        <v/>
      </c>
      <c r="K31" s="20" t="str">
        <f t="shared" ca="1" si="34"/>
        <v/>
      </c>
      <c r="L31" s="20" t="str">
        <f t="shared" ca="1" si="34"/>
        <v/>
      </c>
      <c r="M31" s="20" t="str">
        <f t="shared" ca="1" si="34"/>
        <v/>
      </c>
      <c r="N31" s="20" t="str">
        <f t="shared" ca="1" si="34"/>
        <v/>
      </c>
      <c r="O31" s="20" t="str">
        <f t="shared" ca="1" si="34"/>
        <v/>
      </c>
      <c r="P31" s="20">
        <f t="shared" ca="1" si="26"/>
        <v>0</v>
      </c>
      <c r="Q31" s="32"/>
      <c r="R31" s="79"/>
      <c r="S31" s="79"/>
      <c r="T31" s="34"/>
      <c r="U31" s="34"/>
      <c r="V31" s="34"/>
      <c r="W31" s="34"/>
    </row>
    <row r="32" spans="1:23" ht="16" hidden="1" x14ac:dyDescent="0.2">
      <c r="A32" s="54"/>
      <c r="B32" s="55"/>
      <c r="C32" s="20"/>
      <c r="D32" s="20" t="str">
        <f t="shared" ref="D32:O32" ca="1" si="35">IF($O$1,IFERROR(INDIRECT("'"&amp;D$2&amp;"'!"&amp;$D$1&amp;MATCH($B32,INDIRECT("'"&amp;D$2&amp;"'!B1:B"),0)),""),
IFERROR(INDIRECT("'"&amp;D$2&amp;"!"&amp;$D$1&amp;MATCH($B32,INDIRECT("'"&amp;D$2&amp;"'!B:B"),0)),""))</f>
        <v/>
      </c>
      <c r="E32" s="20" t="str">
        <f t="shared" ca="1" si="35"/>
        <v/>
      </c>
      <c r="F32" s="20" t="str">
        <f t="shared" ca="1" si="35"/>
        <v/>
      </c>
      <c r="G32" s="20" t="str">
        <f t="shared" ca="1" si="35"/>
        <v/>
      </c>
      <c r="H32" s="20" t="str">
        <f t="shared" ca="1" si="35"/>
        <v/>
      </c>
      <c r="I32" s="20" t="str">
        <f t="shared" ca="1" si="35"/>
        <v/>
      </c>
      <c r="J32" s="20" t="str">
        <f t="shared" ca="1" si="35"/>
        <v/>
      </c>
      <c r="K32" s="20" t="str">
        <f t="shared" ca="1" si="35"/>
        <v/>
      </c>
      <c r="L32" s="20" t="str">
        <f t="shared" ca="1" si="35"/>
        <v/>
      </c>
      <c r="M32" s="20" t="str">
        <f t="shared" ca="1" si="35"/>
        <v/>
      </c>
      <c r="N32" s="20" t="str">
        <f t="shared" ca="1" si="35"/>
        <v/>
      </c>
      <c r="O32" s="20" t="str">
        <f t="shared" ca="1" si="35"/>
        <v/>
      </c>
      <c r="P32" s="20">
        <f t="shared" ca="1" si="26"/>
        <v>0</v>
      </c>
      <c r="Q32" s="32"/>
      <c r="R32" s="79"/>
      <c r="S32" s="79"/>
      <c r="T32" s="34"/>
      <c r="U32" s="34"/>
      <c r="V32" s="34"/>
      <c r="W32" s="34"/>
    </row>
    <row r="33" spans="1:23" ht="16" hidden="1" x14ac:dyDescent="0.2">
      <c r="A33" s="54"/>
      <c r="B33" s="55"/>
      <c r="C33" s="20"/>
      <c r="D33" s="20" t="str">
        <f t="shared" ref="D33:O33" ca="1" si="36">IF($O$1,IFERROR(INDIRECT("'"&amp;D$2&amp;"'!"&amp;$D$1&amp;MATCH($B33,INDIRECT("'"&amp;D$2&amp;"'!B1:B"),0)),""),
IFERROR(INDIRECT("'"&amp;D$2&amp;"!"&amp;$D$1&amp;MATCH($B33,INDIRECT("'"&amp;D$2&amp;"'!B:B"),0)),""))</f>
        <v/>
      </c>
      <c r="E33" s="20" t="str">
        <f t="shared" ca="1" si="36"/>
        <v/>
      </c>
      <c r="F33" s="20" t="str">
        <f t="shared" ca="1" si="36"/>
        <v/>
      </c>
      <c r="G33" s="20" t="str">
        <f t="shared" ca="1" si="36"/>
        <v/>
      </c>
      <c r="H33" s="20" t="str">
        <f t="shared" ca="1" si="36"/>
        <v/>
      </c>
      <c r="I33" s="20" t="str">
        <f t="shared" ca="1" si="36"/>
        <v/>
      </c>
      <c r="J33" s="20" t="str">
        <f t="shared" ca="1" si="36"/>
        <v/>
      </c>
      <c r="K33" s="20" t="str">
        <f t="shared" ca="1" si="36"/>
        <v/>
      </c>
      <c r="L33" s="20" t="str">
        <f t="shared" ca="1" si="36"/>
        <v/>
      </c>
      <c r="M33" s="20" t="str">
        <f t="shared" ca="1" si="36"/>
        <v/>
      </c>
      <c r="N33" s="20" t="str">
        <f t="shared" ca="1" si="36"/>
        <v/>
      </c>
      <c r="O33" s="20" t="str">
        <f t="shared" ca="1" si="36"/>
        <v/>
      </c>
      <c r="P33" s="20">
        <f t="shared" ca="1" si="26"/>
        <v>0</v>
      </c>
      <c r="Q33" s="32"/>
      <c r="R33" s="79"/>
      <c r="S33" s="79"/>
      <c r="T33" s="34"/>
      <c r="U33" s="34"/>
      <c r="V33" s="34"/>
      <c r="W33" s="34"/>
    </row>
    <row r="34" spans="1:23" ht="16" hidden="1" x14ac:dyDescent="0.2">
      <c r="A34" s="54"/>
      <c r="B34" s="55"/>
      <c r="C34" s="20"/>
      <c r="D34" s="20" t="str">
        <f t="shared" ref="D34:O34" ca="1" si="37">IF($O$1,IFERROR(INDIRECT("'"&amp;D$2&amp;"'!"&amp;$D$1&amp;MATCH($B34,INDIRECT("'"&amp;D$2&amp;"'!B1:B"),0)),""),
IFERROR(INDIRECT("'"&amp;D$2&amp;"!"&amp;$D$1&amp;MATCH($B34,INDIRECT("'"&amp;D$2&amp;"'!B:B"),0)),""))</f>
        <v/>
      </c>
      <c r="E34" s="20" t="str">
        <f t="shared" ca="1" si="37"/>
        <v/>
      </c>
      <c r="F34" s="20" t="str">
        <f t="shared" ca="1" si="37"/>
        <v/>
      </c>
      <c r="G34" s="20" t="str">
        <f t="shared" ca="1" si="37"/>
        <v/>
      </c>
      <c r="H34" s="20" t="str">
        <f t="shared" ca="1" si="37"/>
        <v/>
      </c>
      <c r="I34" s="20" t="str">
        <f t="shared" ca="1" si="37"/>
        <v/>
      </c>
      <c r="J34" s="20" t="str">
        <f t="shared" ca="1" si="37"/>
        <v/>
      </c>
      <c r="K34" s="20" t="str">
        <f t="shared" ca="1" si="37"/>
        <v/>
      </c>
      <c r="L34" s="20" t="str">
        <f t="shared" ca="1" si="37"/>
        <v/>
      </c>
      <c r="M34" s="20" t="str">
        <f t="shared" ca="1" si="37"/>
        <v/>
      </c>
      <c r="N34" s="20" t="str">
        <f t="shared" ca="1" si="37"/>
        <v/>
      </c>
      <c r="O34" s="20" t="str">
        <f t="shared" ca="1" si="37"/>
        <v/>
      </c>
      <c r="P34" s="20">
        <f t="shared" ca="1" si="26"/>
        <v>0</v>
      </c>
      <c r="Q34" s="32"/>
      <c r="R34" s="79"/>
      <c r="S34" s="79"/>
      <c r="T34" s="34"/>
      <c r="U34" s="34"/>
      <c r="V34" s="34"/>
      <c r="W34" s="34"/>
    </row>
    <row r="35" spans="1:23" ht="16" hidden="1" x14ac:dyDescent="0.2">
      <c r="A35" s="54"/>
      <c r="B35" s="55"/>
      <c r="C35" s="20"/>
      <c r="D35" s="20" t="str">
        <f t="shared" ref="D35:O35" ca="1" si="38">IF($O$1,IFERROR(INDIRECT("'"&amp;D$2&amp;"'!"&amp;$D$1&amp;MATCH($B35,INDIRECT("'"&amp;D$2&amp;"'!B1:B"),0)),""),
IFERROR(INDIRECT("'"&amp;D$2&amp;"!"&amp;$D$1&amp;MATCH($B35,INDIRECT("'"&amp;D$2&amp;"'!B:B"),0)),""))</f>
        <v/>
      </c>
      <c r="E35" s="20" t="str">
        <f t="shared" ca="1" si="38"/>
        <v/>
      </c>
      <c r="F35" s="20" t="str">
        <f t="shared" ca="1" si="38"/>
        <v/>
      </c>
      <c r="G35" s="20" t="str">
        <f t="shared" ca="1" si="38"/>
        <v/>
      </c>
      <c r="H35" s="20" t="str">
        <f t="shared" ca="1" si="38"/>
        <v/>
      </c>
      <c r="I35" s="20" t="str">
        <f t="shared" ca="1" si="38"/>
        <v/>
      </c>
      <c r="J35" s="20" t="str">
        <f t="shared" ca="1" si="38"/>
        <v/>
      </c>
      <c r="K35" s="20" t="str">
        <f t="shared" ca="1" si="38"/>
        <v/>
      </c>
      <c r="L35" s="20" t="str">
        <f t="shared" ca="1" si="38"/>
        <v/>
      </c>
      <c r="M35" s="20" t="str">
        <f t="shared" ca="1" si="38"/>
        <v/>
      </c>
      <c r="N35" s="20" t="str">
        <f t="shared" ca="1" si="38"/>
        <v/>
      </c>
      <c r="O35" s="20" t="str">
        <f t="shared" ca="1" si="38"/>
        <v/>
      </c>
      <c r="P35" s="20">
        <f t="shared" ca="1" si="26"/>
        <v>0</v>
      </c>
      <c r="Q35" s="32"/>
      <c r="R35" s="79"/>
      <c r="S35" s="79"/>
      <c r="T35" s="34"/>
      <c r="U35" s="34"/>
      <c r="V35" s="34"/>
      <c r="W35" s="34"/>
    </row>
    <row r="36" spans="1:23" ht="16" hidden="1" x14ac:dyDescent="0.2">
      <c r="A36" s="54"/>
      <c r="B36" s="55"/>
      <c r="C36" s="20"/>
      <c r="D36" s="20" t="str">
        <f t="shared" ref="D36:O36" ca="1" si="39">IF($O$1,IFERROR(INDIRECT("'"&amp;D$2&amp;"'!"&amp;$D$1&amp;MATCH($B36,INDIRECT("'"&amp;D$2&amp;"'!B1:B"),0)),""),
IFERROR(INDIRECT("'"&amp;D$2&amp;"!"&amp;$D$1&amp;MATCH($B36,INDIRECT("'"&amp;D$2&amp;"'!B:B"),0)),""))</f>
        <v/>
      </c>
      <c r="E36" s="20" t="str">
        <f t="shared" ca="1" si="39"/>
        <v/>
      </c>
      <c r="F36" s="20" t="str">
        <f t="shared" ca="1" si="39"/>
        <v/>
      </c>
      <c r="G36" s="20" t="str">
        <f t="shared" ca="1" si="39"/>
        <v/>
      </c>
      <c r="H36" s="20" t="str">
        <f t="shared" ca="1" si="39"/>
        <v/>
      </c>
      <c r="I36" s="20" t="str">
        <f t="shared" ca="1" si="39"/>
        <v/>
      </c>
      <c r="J36" s="20" t="str">
        <f t="shared" ca="1" si="39"/>
        <v/>
      </c>
      <c r="K36" s="20" t="str">
        <f t="shared" ca="1" si="39"/>
        <v/>
      </c>
      <c r="L36" s="20" t="str">
        <f t="shared" ca="1" si="39"/>
        <v/>
      </c>
      <c r="M36" s="20" t="str">
        <f t="shared" ca="1" si="39"/>
        <v/>
      </c>
      <c r="N36" s="20" t="str">
        <f t="shared" ca="1" si="39"/>
        <v/>
      </c>
      <c r="O36" s="20" t="str">
        <f t="shared" ca="1" si="39"/>
        <v/>
      </c>
      <c r="P36" s="20">
        <f t="shared" ca="1" si="26"/>
        <v>0</v>
      </c>
      <c r="Q36" s="32"/>
      <c r="R36" s="79"/>
      <c r="S36" s="79"/>
      <c r="T36" s="34"/>
      <c r="U36" s="34"/>
      <c r="V36" s="34"/>
      <c r="W36" s="34"/>
    </row>
    <row r="37" spans="1:23" ht="16" hidden="1" x14ac:dyDescent="0.2">
      <c r="A37" s="54"/>
      <c r="B37" s="55"/>
      <c r="C37" s="20"/>
      <c r="D37" s="20" t="str">
        <f t="shared" ref="D37:O37" ca="1" si="40">IF($O$1,IFERROR(INDIRECT("'"&amp;D$2&amp;"'!"&amp;$D$1&amp;MATCH($B37,INDIRECT("'"&amp;D$2&amp;"'!B1:B"),0)),""),
IFERROR(INDIRECT("'"&amp;D$2&amp;"!"&amp;$D$1&amp;MATCH($B37,INDIRECT("'"&amp;D$2&amp;"'!B:B"),0)),""))</f>
        <v/>
      </c>
      <c r="E37" s="20" t="str">
        <f t="shared" ca="1" si="40"/>
        <v/>
      </c>
      <c r="F37" s="20" t="str">
        <f t="shared" ca="1" si="40"/>
        <v/>
      </c>
      <c r="G37" s="20" t="str">
        <f t="shared" ca="1" si="40"/>
        <v/>
      </c>
      <c r="H37" s="20" t="str">
        <f t="shared" ca="1" si="40"/>
        <v/>
      </c>
      <c r="I37" s="20" t="str">
        <f t="shared" ca="1" si="40"/>
        <v/>
      </c>
      <c r="J37" s="20" t="str">
        <f t="shared" ca="1" si="40"/>
        <v/>
      </c>
      <c r="K37" s="20" t="str">
        <f t="shared" ca="1" si="40"/>
        <v/>
      </c>
      <c r="L37" s="20" t="str">
        <f t="shared" ca="1" si="40"/>
        <v/>
      </c>
      <c r="M37" s="20" t="str">
        <f t="shared" ca="1" si="40"/>
        <v/>
      </c>
      <c r="N37" s="20" t="str">
        <f t="shared" ca="1" si="40"/>
        <v/>
      </c>
      <c r="O37" s="20" t="str">
        <f t="shared" ca="1" si="40"/>
        <v/>
      </c>
      <c r="P37" s="20">
        <f t="shared" ca="1" si="26"/>
        <v>0</v>
      </c>
      <c r="Q37" s="32"/>
      <c r="R37" s="79"/>
      <c r="S37" s="79"/>
      <c r="T37" s="34"/>
      <c r="U37" s="34"/>
      <c r="V37" s="34"/>
      <c r="W37" s="34"/>
    </row>
    <row r="38" spans="1:23" ht="16" hidden="1" x14ac:dyDescent="0.2">
      <c r="A38" s="54"/>
      <c r="B38" s="55"/>
      <c r="C38" s="20"/>
      <c r="D38" s="20" t="str">
        <f t="shared" ref="D38:O38" ca="1" si="41">IF($O$1,IFERROR(INDIRECT("'"&amp;D$2&amp;"'!"&amp;$D$1&amp;MATCH($B38,INDIRECT("'"&amp;D$2&amp;"'!B1:B"),0)),""),
IFERROR(INDIRECT("'"&amp;D$2&amp;"!"&amp;$D$1&amp;MATCH($B38,INDIRECT("'"&amp;D$2&amp;"'!B:B"),0)),""))</f>
        <v/>
      </c>
      <c r="E38" s="20" t="str">
        <f t="shared" ca="1" si="41"/>
        <v/>
      </c>
      <c r="F38" s="20" t="str">
        <f t="shared" ca="1" si="41"/>
        <v/>
      </c>
      <c r="G38" s="20" t="str">
        <f t="shared" ca="1" si="41"/>
        <v/>
      </c>
      <c r="H38" s="20" t="str">
        <f t="shared" ca="1" si="41"/>
        <v/>
      </c>
      <c r="I38" s="20" t="str">
        <f t="shared" ca="1" si="41"/>
        <v/>
      </c>
      <c r="J38" s="20" t="str">
        <f t="shared" ca="1" si="41"/>
        <v/>
      </c>
      <c r="K38" s="20" t="str">
        <f t="shared" ca="1" si="41"/>
        <v/>
      </c>
      <c r="L38" s="20" t="str">
        <f t="shared" ca="1" si="41"/>
        <v/>
      </c>
      <c r="M38" s="20" t="str">
        <f t="shared" ca="1" si="41"/>
        <v/>
      </c>
      <c r="N38" s="20" t="str">
        <f t="shared" ca="1" si="41"/>
        <v/>
      </c>
      <c r="O38" s="20" t="str">
        <f t="shared" ca="1" si="41"/>
        <v/>
      </c>
      <c r="P38" s="20">
        <f t="shared" ca="1" si="26"/>
        <v>0</v>
      </c>
      <c r="Q38" s="32"/>
      <c r="R38" s="79"/>
      <c r="S38" s="79"/>
      <c r="T38" s="34"/>
      <c r="U38" s="34"/>
      <c r="V38" s="34"/>
      <c r="W38" s="34"/>
    </row>
    <row r="39" spans="1:23" ht="16" hidden="1" x14ac:dyDescent="0.2">
      <c r="A39" s="54"/>
      <c r="B39" s="55"/>
      <c r="C39" s="20"/>
      <c r="D39" s="20" t="str">
        <f t="shared" ref="D39:O39" ca="1" si="42">IF($O$1,IFERROR(INDIRECT("'"&amp;D$2&amp;"'!"&amp;$D$1&amp;MATCH($B39,INDIRECT("'"&amp;D$2&amp;"'!B1:B"),0)),""),
IFERROR(INDIRECT("'"&amp;D$2&amp;"!"&amp;$D$1&amp;MATCH($B39,INDIRECT("'"&amp;D$2&amp;"'!B:B"),0)),""))</f>
        <v/>
      </c>
      <c r="E39" s="20" t="str">
        <f t="shared" ca="1" si="42"/>
        <v/>
      </c>
      <c r="F39" s="20" t="str">
        <f t="shared" ca="1" si="42"/>
        <v/>
      </c>
      <c r="G39" s="20" t="str">
        <f t="shared" ca="1" si="42"/>
        <v/>
      </c>
      <c r="H39" s="20" t="str">
        <f t="shared" ca="1" si="42"/>
        <v/>
      </c>
      <c r="I39" s="20" t="str">
        <f t="shared" ca="1" si="42"/>
        <v/>
      </c>
      <c r="J39" s="20" t="str">
        <f t="shared" ca="1" si="42"/>
        <v/>
      </c>
      <c r="K39" s="20" t="str">
        <f t="shared" ca="1" si="42"/>
        <v/>
      </c>
      <c r="L39" s="20" t="str">
        <f t="shared" ca="1" si="42"/>
        <v/>
      </c>
      <c r="M39" s="20" t="str">
        <f t="shared" ca="1" si="42"/>
        <v/>
      </c>
      <c r="N39" s="20" t="str">
        <f t="shared" ca="1" si="42"/>
        <v/>
      </c>
      <c r="O39" s="20" t="str">
        <f t="shared" ca="1" si="42"/>
        <v/>
      </c>
      <c r="P39" s="20">
        <f t="shared" ca="1" si="26"/>
        <v>0</v>
      </c>
      <c r="Q39" s="32"/>
      <c r="R39" s="79"/>
      <c r="S39" s="79"/>
      <c r="T39" s="34"/>
      <c r="U39" s="34"/>
      <c r="V39" s="34"/>
      <c r="W39" s="34"/>
    </row>
    <row r="40" spans="1:23" ht="16" hidden="1" x14ac:dyDescent="0.2">
      <c r="A40" s="54"/>
      <c r="B40" s="55"/>
      <c r="C40" s="20"/>
      <c r="D40" s="20" t="str">
        <f t="shared" ref="D40:O40" ca="1" si="43">IF($O$1,IFERROR(INDIRECT("'"&amp;D$2&amp;"'!"&amp;$D$1&amp;MATCH($B40,INDIRECT("'"&amp;D$2&amp;"'!B1:B"),0)),""),
IFERROR(INDIRECT("'"&amp;D$2&amp;"!"&amp;$D$1&amp;MATCH($B40,INDIRECT("'"&amp;D$2&amp;"'!B:B"),0)),""))</f>
        <v/>
      </c>
      <c r="E40" s="20" t="str">
        <f t="shared" ca="1" si="43"/>
        <v/>
      </c>
      <c r="F40" s="20" t="str">
        <f t="shared" ca="1" si="43"/>
        <v/>
      </c>
      <c r="G40" s="20" t="str">
        <f t="shared" ca="1" si="43"/>
        <v/>
      </c>
      <c r="H40" s="20" t="str">
        <f t="shared" ca="1" si="43"/>
        <v/>
      </c>
      <c r="I40" s="20" t="str">
        <f t="shared" ca="1" si="43"/>
        <v/>
      </c>
      <c r="J40" s="20" t="str">
        <f t="shared" ca="1" si="43"/>
        <v/>
      </c>
      <c r="K40" s="20" t="str">
        <f t="shared" ca="1" si="43"/>
        <v/>
      </c>
      <c r="L40" s="20" t="str">
        <f t="shared" ca="1" si="43"/>
        <v/>
      </c>
      <c r="M40" s="20" t="str">
        <f t="shared" ca="1" si="43"/>
        <v/>
      </c>
      <c r="N40" s="20" t="str">
        <f t="shared" ca="1" si="43"/>
        <v/>
      </c>
      <c r="O40" s="20" t="str">
        <f t="shared" ca="1" si="43"/>
        <v/>
      </c>
      <c r="P40" s="20">
        <f t="shared" ca="1" si="26"/>
        <v>0</v>
      </c>
      <c r="Q40" s="32"/>
      <c r="R40" s="79"/>
      <c r="S40" s="79"/>
      <c r="T40" s="34"/>
      <c r="U40" s="34"/>
      <c r="V40" s="34"/>
      <c r="W40" s="34"/>
    </row>
    <row r="41" spans="1:23" ht="16" hidden="1" x14ac:dyDescent="0.2">
      <c r="A41" s="54"/>
      <c r="B41" s="55"/>
      <c r="C41" s="20"/>
      <c r="D41" s="20" t="str">
        <f t="shared" ref="D41:O41" ca="1" si="44">IF($O$1,IFERROR(INDIRECT("'"&amp;D$2&amp;"'!"&amp;$D$1&amp;MATCH($B41,INDIRECT("'"&amp;D$2&amp;"'!B1:B"),0)),""),
IFERROR(INDIRECT("'"&amp;D$2&amp;"!"&amp;$D$1&amp;MATCH($B41,INDIRECT("'"&amp;D$2&amp;"'!B:B"),0)),""))</f>
        <v/>
      </c>
      <c r="E41" s="20" t="str">
        <f t="shared" ca="1" si="44"/>
        <v/>
      </c>
      <c r="F41" s="20" t="str">
        <f t="shared" ca="1" si="44"/>
        <v/>
      </c>
      <c r="G41" s="20" t="str">
        <f t="shared" ca="1" si="44"/>
        <v/>
      </c>
      <c r="H41" s="20" t="str">
        <f t="shared" ca="1" si="44"/>
        <v/>
      </c>
      <c r="I41" s="20" t="str">
        <f t="shared" ca="1" si="44"/>
        <v/>
      </c>
      <c r="J41" s="20" t="str">
        <f t="shared" ca="1" si="44"/>
        <v/>
      </c>
      <c r="K41" s="20" t="str">
        <f t="shared" ca="1" si="44"/>
        <v/>
      </c>
      <c r="L41" s="20" t="str">
        <f t="shared" ca="1" si="44"/>
        <v/>
      </c>
      <c r="M41" s="20" t="str">
        <f t="shared" ca="1" si="44"/>
        <v/>
      </c>
      <c r="N41" s="20" t="str">
        <f t="shared" ca="1" si="44"/>
        <v/>
      </c>
      <c r="O41" s="20" t="str">
        <f t="shared" ca="1" si="44"/>
        <v/>
      </c>
      <c r="P41" s="20">
        <f t="shared" ca="1" si="26"/>
        <v>0</v>
      </c>
      <c r="Q41" s="32"/>
      <c r="R41" s="79"/>
      <c r="S41" s="79"/>
      <c r="T41" s="34"/>
      <c r="U41" s="34"/>
      <c r="V41" s="34"/>
      <c r="W41" s="34"/>
    </row>
    <row r="42" spans="1:23" ht="16" hidden="1" x14ac:dyDescent="0.2">
      <c r="A42" s="54"/>
      <c r="B42" s="55"/>
      <c r="C42" s="20"/>
      <c r="D42" s="20" t="str">
        <f t="shared" ref="D42:O42" ca="1" si="45">IF($O$1,IFERROR(INDIRECT("'"&amp;D$2&amp;"'!"&amp;$D$1&amp;MATCH($B42,INDIRECT("'"&amp;D$2&amp;"'!B1:B"),0)),""),
IFERROR(INDIRECT("'"&amp;D$2&amp;"!"&amp;$D$1&amp;MATCH($B42,INDIRECT("'"&amp;D$2&amp;"'!B:B"),0)),""))</f>
        <v/>
      </c>
      <c r="E42" s="20" t="str">
        <f t="shared" ca="1" si="45"/>
        <v/>
      </c>
      <c r="F42" s="20" t="str">
        <f t="shared" ca="1" si="45"/>
        <v/>
      </c>
      <c r="G42" s="20" t="str">
        <f t="shared" ca="1" si="45"/>
        <v/>
      </c>
      <c r="H42" s="20" t="str">
        <f t="shared" ca="1" si="45"/>
        <v/>
      </c>
      <c r="I42" s="20" t="str">
        <f t="shared" ca="1" si="45"/>
        <v/>
      </c>
      <c r="J42" s="20" t="str">
        <f t="shared" ca="1" si="45"/>
        <v/>
      </c>
      <c r="K42" s="20" t="str">
        <f t="shared" ca="1" si="45"/>
        <v/>
      </c>
      <c r="L42" s="20" t="str">
        <f t="shared" ca="1" si="45"/>
        <v/>
      </c>
      <c r="M42" s="20" t="str">
        <f t="shared" ca="1" si="45"/>
        <v/>
      </c>
      <c r="N42" s="20" t="str">
        <f t="shared" ca="1" si="45"/>
        <v/>
      </c>
      <c r="O42" s="20" t="str">
        <f t="shared" ca="1" si="45"/>
        <v/>
      </c>
      <c r="P42" s="20">
        <f t="shared" ca="1" si="26"/>
        <v>0</v>
      </c>
      <c r="Q42" s="32"/>
      <c r="R42" s="79"/>
      <c r="S42" s="79"/>
      <c r="T42" s="34"/>
      <c r="U42" s="34"/>
      <c r="V42" s="34"/>
      <c r="W42" s="34"/>
    </row>
    <row r="43" spans="1:23" ht="14" hidden="1" x14ac:dyDescent="0.15">
      <c r="A43" s="35"/>
      <c r="B43" s="80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2"/>
      <c r="R43" s="83"/>
      <c r="S43" s="83"/>
      <c r="T43" s="47"/>
      <c r="U43" s="47"/>
      <c r="V43" s="47"/>
      <c r="W43" s="47"/>
    </row>
    <row r="44" spans="1:23" ht="16" hidden="1" x14ac:dyDescent="0.2">
      <c r="A44" s="54"/>
      <c r="B44" s="55"/>
      <c r="C44" s="20"/>
      <c r="D44" s="20" t="str">
        <f t="shared" ref="D44:O44" ca="1" si="46">IF($O$1,IFERROR(INDIRECT("'"&amp;D$2&amp;"'!"&amp;$D$1&amp;MATCH($B44,INDIRECT("'"&amp;D$2&amp;"'!B1:B"),0)),""),
IFERROR(INDIRECT("'"&amp;D$2&amp;"!"&amp;$D$1&amp;MATCH($B44,INDIRECT("'"&amp;D$2&amp;"'!B:B"),0)),""))</f>
        <v/>
      </c>
      <c r="E44" s="20" t="str">
        <f t="shared" ca="1" si="46"/>
        <v/>
      </c>
      <c r="F44" s="20" t="str">
        <f t="shared" ca="1" si="46"/>
        <v/>
      </c>
      <c r="G44" s="20" t="str">
        <f t="shared" ca="1" si="46"/>
        <v/>
      </c>
      <c r="H44" s="20" t="str">
        <f t="shared" ca="1" si="46"/>
        <v/>
      </c>
      <c r="I44" s="20" t="str">
        <f t="shared" ca="1" si="46"/>
        <v/>
      </c>
      <c r="J44" s="20" t="str">
        <f t="shared" ca="1" si="46"/>
        <v/>
      </c>
      <c r="K44" s="20" t="str">
        <f t="shared" ca="1" si="46"/>
        <v/>
      </c>
      <c r="L44" s="20" t="str">
        <f t="shared" ca="1" si="46"/>
        <v/>
      </c>
      <c r="M44" s="20" t="str">
        <f t="shared" ca="1" si="46"/>
        <v/>
      </c>
      <c r="N44" s="20" t="str">
        <f t="shared" ca="1" si="46"/>
        <v/>
      </c>
      <c r="O44" s="20" t="str">
        <f t="shared" ca="1" si="46"/>
        <v/>
      </c>
      <c r="P44" s="20">
        <f t="shared" ref="P44:P57" ca="1" si="47">SUM(D44:O44)</f>
        <v>0</v>
      </c>
      <c r="Q44" s="32"/>
      <c r="R44" s="79"/>
      <c r="S44" s="79"/>
      <c r="T44" s="34"/>
      <c r="U44" s="34"/>
      <c r="V44" s="34"/>
      <c r="W44" s="34"/>
    </row>
    <row r="45" spans="1:23" ht="16" hidden="1" x14ac:dyDescent="0.2">
      <c r="A45" s="18"/>
      <c r="B45" s="1"/>
      <c r="C45" s="20"/>
      <c r="D45" s="20" t="str">
        <f t="shared" ref="D45:O45" ca="1" si="48">IF($O$1,IFERROR(INDIRECT("'"&amp;D$2&amp;"'!"&amp;$D$1&amp;MATCH($B45,INDIRECT("'"&amp;D$2&amp;"'!B1:B"),0)),""),
IFERROR(INDIRECT("'"&amp;D$2&amp;"!"&amp;$D$1&amp;MATCH($B45,INDIRECT("'"&amp;D$2&amp;"'!B:B"),0)),""))</f>
        <v/>
      </c>
      <c r="E45" s="20" t="str">
        <f t="shared" ca="1" si="48"/>
        <v/>
      </c>
      <c r="F45" s="20" t="str">
        <f t="shared" ca="1" si="48"/>
        <v/>
      </c>
      <c r="G45" s="20" t="str">
        <f t="shared" ca="1" si="48"/>
        <v/>
      </c>
      <c r="H45" s="20" t="str">
        <f t="shared" ca="1" si="48"/>
        <v/>
      </c>
      <c r="I45" s="20" t="str">
        <f t="shared" ca="1" si="48"/>
        <v/>
      </c>
      <c r="J45" s="20" t="str">
        <f t="shared" ca="1" si="48"/>
        <v/>
      </c>
      <c r="K45" s="20" t="str">
        <f t="shared" ca="1" si="48"/>
        <v/>
      </c>
      <c r="L45" s="20" t="str">
        <f t="shared" ca="1" si="48"/>
        <v/>
      </c>
      <c r="M45" s="20" t="str">
        <f t="shared" ca="1" si="48"/>
        <v/>
      </c>
      <c r="N45" s="20" t="str">
        <f t="shared" ca="1" si="48"/>
        <v/>
      </c>
      <c r="O45" s="20" t="str">
        <f t="shared" ca="1" si="48"/>
        <v/>
      </c>
      <c r="P45" s="20">
        <f t="shared" ca="1" si="47"/>
        <v>0</v>
      </c>
      <c r="Q45" s="32"/>
      <c r="R45" s="79"/>
      <c r="S45" s="79"/>
      <c r="T45" s="34"/>
      <c r="U45" s="34"/>
      <c r="V45" s="34"/>
      <c r="W45" s="34"/>
    </row>
    <row r="46" spans="1:23" ht="16" hidden="1" x14ac:dyDescent="0.2">
      <c r="A46" s="18"/>
      <c r="B46" s="1"/>
      <c r="C46" s="20"/>
      <c r="D46" s="20" t="str">
        <f t="shared" ref="D46:O46" ca="1" si="49">IF($O$1,IFERROR(INDIRECT("'"&amp;D$2&amp;"'!"&amp;$D$1&amp;MATCH($B46,INDIRECT("'"&amp;D$2&amp;"'!B1:B"),0)),""),
IFERROR(INDIRECT("'"&amp;D$2&amp;"!"&amp;$D$1&amp;MATCH($B46,INDIRECT("'"&amp;D$2&amp;"'!B:B"),0)),""))</f>
        <v/>
      </c>
      <c r="E46" s="20" t="str">
        <f t="shared" ca="1" si="49"/>
        <v/>
      </c>
      <c r="F46" s="20" t="str">
        <f t="shared" ca="1" si="49"/>
        <v/>
      </c>
      <c r="G46" s="20" t="str">
        <f t="shared" ca="1" si="49"/>
        <v/>
      </c>
      <c r="H46" s="20" t="str">
        <f t="shared" ca="1" si="49"/>
        <v/>
      </c>
      <c r="I46" s="20" t="str">
        <f t="shared" ca="1" si="49"/>
        <v/>
      </c>
      <c r="J46" s="20" t="str">
        <f t="shared" ca="1" si="49"/>
        <v/>
      </c>
      <c r="K46" s="20" t="str">
        <f t="shared" ca="1" si="49"/>
        <v/>
      </c>
      <c r="L46" s="20" t="str">
        <f t="shared" ca="1" si="49"/>
        <v/>
      </c>
      <c r="M46" s="20" t="str">
        <f t="shared" ca="1" si="49"/>
        <v/>
      </c>
      <c r="N46" s="20" t="str">
        <f t="shared" ca="1" si="49"/>
        <v/>
      </c>
      <c r="O46" s="20" t="str">
        <f t="shared" ca="1" si="49"/>
        <v/>
      </c>
      <c r="P46" s="20">
        <f t="shared" ca="1" si="47"/>
        <v>0</v>
      </c>
      <c r="Q46" s="32"/>
      <c r="R46" s="79"/>
      <c r="S46" s="79"/>
      <c r="T46" s="34"/>
      <c r="U46" s="34"/>
      <c r="V46" s="34"/>
      <c r="W46" s="34"/>
    </row>
    <row r="47" spans="1:23" ht="16" hidden="1" x14ac:dyDescent="0.2">
      <c r="A47" s="18"/>
      <c r="B47" s="1"/>
      <c r="C47" s="20"/>
      <c r="D47" s="20" t="str">
        <f t="shared" ref="D47:O47" ca="1" si="50">IF($O$1,IFERROR(INDIRECT("'"&amp;D$2&amp;"'!"&amp;$D$1&amp;MATCH($B47,INDIRECT("'"&amp;D$2&amp;"'!B1:B"),0)),""),
IFERROR(INDIRECT("'"&amp;D$2&amp;"!"&amp;$D$1&amp;MATCH($B47,INDIRECT("'"&amp;D$2&amp;"'!B:B"),0)),""))</f>
        <v/>
      </c>
      <c r="E47" s="20" t="str">
        <f t="shared" ca="1" si="50"/>
        <v/>
      </c>
      <c r="F47" s="20" t="str">
        <f t="shared" ca="1" si="50"/>
        <v/>
      </c>
      <c r="G47" s="20" t="str">
        <f t="shared" ca="1" si="50"/>
        <v/>
      </c>
      <c r="H47" s="20" t="str">
        <f t="shared" ca="1" si="50"/>
        <v/>
      </c>
      <c r="I47" s="20" t="str">
        <f t="shared" ca="1" si="50"/>
        <v/>
      </c>
      <c r="J47" s="20" t="str">
        <f t="shared" ca="1" si="50"/>
        <v/>
      </c>
      <c r="K47" s="20" t="str">
        <f t="shared" ca="1" si="50"/>
        <v/>
      </c>
      <c r="L47" s="20" t="str">
        <f t="shared" ca="1" si="50"/>
        <v/>
      </c>
      <c r="M47" s="20" t="str">
        <f t="shared" ca="1" si="50"/>
        <v/>
      </c>
      <c r="N47" s="20" t="str">
        <f t="shared" ca="1" si="50"/>
        <v/>
      </c>
      <c r="O47" s="20" t="str">
        <f t="shared" ca="1" si="50"/>
        <v/>
      </c>
      <c r="P47" s="20">
        <f t="shared" ca="1" si="47"/>
        <v>0</v>
      </c>
      <c r="Q47" s="32"/>
      <c r="R47" s="79"/>
      <c r="S47" s="79"/>
      <c r="T47" s="34"/>
      <c r="U47" s="34"/>
      <c r="V47" s="34"/>
      <c r="W47" s="34"/>
    </row>
    <row r="48" spans="1:23" ht="16" hidden="1" x14ac:dyDescent="0.2">
      <c r="A48" s="18"/>
      <c r="B48" s="1"/>
      <c r="C48" s="20"/>
      <c r="D48" s="20" t="str">
        <f t="shared" ref="D48:O48" ca="1" si="51">IF($O$1,IFERROR(INDIRECT("'"&amp;D$2&amp;"'!"&amp;$D$1&amp;MATCH($B48,INDIRECT("'"&amp;D$2&amp;"'!B1:B"),0)),""),
IFERROR(INDIRECT("'"&amp;D$2&amp;"!"&amp;$D$1&amp;MATCH($B48,INDIRECT("'"&amp;D$2&amp;"'!B:B"),0)),""))</f>
        <v/>
      </c>
      <c r="E48" s="20" t="str">
        <f t="shared" ca="1" si="51"/>
        <v/>
      </c>
      <c r="F48" s="20" t="str">
        <f t="shared" ca="1" si="51"/>
        <v/>
      </c>
      <c r="G48" s="20" t="str">
        <f t="shared" ca="1" si="51"/>
        <v/>
      </c>
      <c r="H48" s="20" t="str">
        <f t="shared" ca="1" si="51"/>
        <v/>
      </c>
      <c r="I48" s="20" t="str">
        <f t="shared" ca="1" si="51"/>
        <v/>
      </c>
      <c r="J48" s="20" t="str">
        <f t="shared" ca="1" si="51"/>
        <v/>
      </c>
      <c r="K48" s="20" t="str">
        <f t="shared" ca="1" si="51"/>
        <v/>
      </c>
      <c r="L48" s="20" t="str">
        <f t="shared" ca="1" si="51"/>
        <v/>
      </c>
      <c r="M48" s="20" t="str">
        <f t="shared" ca="1" si="51"/>
        <v/>
      </c>
      <c r="N48" s="20" t="str">
        <f t="shared" ca="1" si="51"/>
        <v/>
      </c>
      <c r="O48" s="20" t="str">
        <f t="shared" ca="1" si="51"/>
        <v/>
      </c>
      <c r="P48" s="20">
        <f t="shared" ca="1" si="47"/>
        <v>0</v>
      </c>
      <c r="Q48" s="32"/>
      <c r="R48" s="79"/>
      <c r="S48" s="79"/>
      <c r="T48" s="34"/>
      <c r="U48" s="34"/>
      <c r="V48" s="34"/>
      <c r="W48" s="34"/>
    </row>
    <row r="49" spans="1:23" ht="16" hidden="1" x14ac:dyDescent="0.2">
      <c r="A49" s="18"/>
      <c r="B49" s="1"/>
      <c r="C49" s="20"/>
      <c r="D49" s="20" t="str">
        <f t="shared" ref="D49:O49" ca="1" si="52">IF($O$1,IFERROR(INDIRECT("'"&amp;D$2&amp;"'!"&amp;$D$1&amp;MATCH($B49,INDIRECT("'"&amp;D$2&amp;"'!B1:B"),0)),""),
IFERROR(INDIRECT("'"&amp;D$2&amp;"!"&amp;$D$1&amp;MATCH($B49,INDIRECT("'"&amp;D$2&amp;"'!B:B"),0)),""))</f>
        <v/>
      </c>
      <c r="E49" s="20" t="str">
        <f t="shared" ca="1" si="52"/>
        <v/>
      </c>
      <c r="F49" s="20" t="str">
        <f t="shared" ca="1" si="52"/>
        <v/>
      </c>
      <c r="G49" s="20" t="str">
        <f t="shared" ca="1" si="52"/>
        <v/>
      </c>
      <c r="H49" s="20" t="str">
        <f t="shared" ca="1" si="52"/>
        <v/>
      </c>
      <c r="I49" s="20" t="str">
        <f t="shared" ca="1" si="52"/>
        <v/>
      </c>
      <c r="J49" s="20" t="str">
        <f t="shared" ca="1" si="52"/>
        <v/>
      </c>
      <c r="K49" s="20" t="str">
        <f t="shared" ca="1" si="52"/>
        <v/>
      </c>
      <c r="L49" s="20" t="str">
        <f t="shared" ca="1" si="52"/>
        <v/>
      </c>
      <c r="M49" s="20" t="str">
        <f t="shared" ca="1" si="52"/>
        <v/>
      </c>
      <c r="N49" s="20" t="str">
        <f t="shared" ca="1" si="52"/>
        <v/>
      </c>
      <c r="O49" s="20" t="str">
        <f t="shared" ca="1" si="52"/>
        <v/>
      </c>
      <c r="P49" s="20">
        <f t="shared" ca="1" si="47"/>
        <v>0</v>
      </c>
      <c r="Q49" s="32"/>
      <c r="R49" s="79"/>
      <c r="S49" s="79"/>
      <c r="T49" s="34"/>
      <c r="U49" s="34"/>
      <c r="V49" s="34"/>
      <c r="W49" s="34"/>
    </row>
    <row r="50" spans="1:23" ht="16" hidden="1" x14ac:dyDescent="0.2">
      <c r="A50" s="18"/>
      <c r="B50" s="1"/>
      <c r="C50" s="20"/>
      <c r="D50" s="20" t="str">
        <f t="shared" ref="D50:O50" ca="1" si="53">IF($O$1,IFERROR(INDIRECT("'"&amp;D$2&amp;"'!"&amp;$D$1&amp;MATCH($B50,INDIRECT("'"&amp;D$2&amp;"'!B1:B"),0)),""),
IFERROR(INDIRECT("'"&amp;D$2&amp;"!"&amp;$D$1&amp;MATCH($B50,INDIRECT("'"&amp;D$2&amp;"'!B:B"),0)),""))</f>
        <v/>
      </c>
      <c r="E50" s="20" t="str">
        <f t="shared" ca="1" si="53"/>
        <v/>
      </c>
      <c r="F50" s="20" t="str">
        <f t="shared" ca="1" si="53"/>
        <v/>
      </c>
      <c r="G50" s="20" t="str">
        <f t="shared" ca="1" si="53"/>
        <v/>
      </c>
      <c r="H50" s="20" t="str">
        <f t="shared" ca="1" si="53"/>
        <v/>
      </c>
      <c r="I50" s="20" t="str">
        <f t="shared" ca="1" si="53"/>
        <v/>
      </c>
      <c r="J50" s="20" t="str">
        <f t="shared" ca="1" si="53"/>
        <v/>
      </c>
      <c r="K50" s="20" t="str">
        <f t="shared" ca="1" si="53"/>
        <v/>
      </c>
      <c r="L50" s="20" t="str">
        <f t="shared" ca="1" si="53"/>
        <v/>
      </c>
      <c r="M50" s="20" t="str">
        <f t="shared" ca="1" si="53"/>
        <v/>
      </c>
      <c r="N50" s="20" t="str">
        <f t="shared" ca="1" si="53"/>
        <v/>
      </c>
      <c r="O50" s="20" t="str">
        <f t="shared" ca="1" si="53"/>
        <v/>
      </c>
      <c r="P50" s="20">
        <f t="shared" ca="1" si="47"/>
        <v>0</v>
      </c>
      <c r="Q50" s="32"/>
      <c r="R50" s="79"/>
      <c r="S50" s="79"/>
      <c r="T50" s="34"/>
      <c r="U50" s="34"/>
      <c r="V50" s="34"/>
      <c r="W50" s="34"/>
    </row>
    <row r="51" spans="1:23" ht="16" hidden="1" x14ac:dyDescent="0.2">
      <c r="A51" s="18"/>
      <c r="B51" s="1"/>
      <c r="C51" s="20"/>
      <c r="D51" s="20" t="str">
        <f t="shared" ref="D51:O51" ca="1" si="54">IF($O$1,IFERROR(INDIRECT("'"&amp;D$2&amp;"'!"&amp;$D$1&amp;MATCH($B51,INDIRECT("'"&amp;D$2&amp;"'!B1:B"),0)),""),
IFERROR(INDIRECT("'"&amp;D$2&amp;"!"&amp;$D$1&amp;MATCH($B51,INDIRECT("'"&amp;D$2&amp;"'!B:B"),0)),""))</f>
        <v/>
      </c>
      <c r="E51" s="20" t="str">
        <f t="shared" ca="1" si="54"/>
        <v/>
      </c>
      <c r="F51" s="20" t="str">
        <f t="shared" ca="1" si="54"/>
        <v/>
      </c>
      <c r="G51" s="20" t="str">
        <f t="shared" ca="1" si="54"/>
        <v/>
      </c>
      <c r="H51" s="20" t="str">
        <f t="shared" ca="1" si="54"/>
        <v/>
      </c>
      <c r="I51" s="20" t="str">
        <f t="shared" ca="1" si="54"/>
        <v/>
      </c>
      <c r="J51" s="20" t="str">
        <f t="shared" ca="1" si="54"/>
        <v/>
      </c>
      <c r="K51" s="20" t="str">
        <f t="shared" ca="1" si="54"/>
        <v/>
      </c>
      <c r="L51" s="20" t="str">
        <f t="shared" ca="1" si="54"/>
        <v/>
      </c>
      <c r="M51" s="20" t="str">
        <f t="shared" ca="1" si="54"/>
        <v/>
      </c>
      <c r="N51" s="20" t="str">
        <f t="shared" ca="1" si="54"/>
        <v/>
      </c>
      <c r="O51" s="20" t="str">
        <f t="shared" ca="1" si="54"/>
        <v/>
      </c>
      <c r="P51" s="20">
        <f t="shared" ca="1" si="47"/>
        <v>0</v>
      </c>
      <c r="Q51" s="32"/>
      <c r="R51" s="79"/>
      <c r="S51" s="79"/>
      <c r="T51" s="34"/>
      <c r="U51" s="34"/>
      <c r="V51" s="34"/>
      <c r="W51" s="34"/>
    </row>
    <row r="52" spans="1:23" ht="16" hidden="1" x14ac:dyDescent="0.2">
      <c r="A52" s="18"/>
      <c r="B52" s="1"/>
      <c r="C52" s="20"/>
      <c r="D52" s="20" t="str">
        <f t="shared" ref="D52:O52" ca="1" si="55">IF($O$1,IFERROR(INDIRECT("'"&amp;D$2&amp;"'!"&amp;$D$1&amp;MATCH($B52,INDIRECT("'"&amp;D$2&amp;"'!B1:B"),0)),""),
IFERROR(INDIRECT("'"&amp;D$2&amp;"!"&amp;$D$1&amp;MATCH($B52,INDIRECT("'"&amp;D$2&amp;"'!B:B"),0)),""))</f>
        <v/>
      </c>
      <c r="E52" s="20" t="str">
        <f t="shared" ca="1" si="55"/>
        <v/>
      </c>
      <c r="F52" s="20" t="str">
        <f t="shared" ca="1" si="55"/>
        <v/>
      </c>
      <c r="G52" s="20" t="str">
        <f t="shared" ca="1" si="55"/>
        <v/>
      </c>
      <c r="H52" s="20" t="str">
        <f t="shared" ca="1" si="55"/>
        <v/>
      </c>
      <c r="I52" s="20" t="str">
        <f t="shared" ca="1" si="55"/>
        <v/>
      </c>
      <c r="J52" s="20" t="str">
        <f t="shared" ca="1" si="55"/>
        <v/>
      </c>
      <c r="K52" s="20" t="str">
        <f t="shared" ca="1" si="55"/>
        <v/>
      </c>
      <c r="L52" s="20" t="str">
        <f t="shared" ca="1" si="55"/>
        <v/>
      </c>
      <c r="M52" s="20" t="str">
        <f t="shared" ca="1" si="55"/>
        <v/>
      </c>
      <c r="N52" s="20" t="str">
        <f t="shared" ca="1" si="55"/>
        <v/>
      </c>
      <c r="O52" s="20" t="str">
        <f t="shared" ca="1" si="55"/>
        <v/>
      </c>
      <c r="P52" s="20">
        <f t="shared" ca="1" si="47"/>
        <v>0</v>
      </c>
      <c r="Q52" s="32"/>
      <c r="R52" s="79"/>
      <c r="S52" s="79"/>
      <c r="T52" s="34"/>
      <c r="U52" s="34"/>
      <c r="V52" s="34"/>
      <c r="W52" s="34"/>
    </row>
    <row r="53" spans="1:23" ht="16" hidden="1" x14ac:dyDescent="0.2">
      <c r="A53" s="18"/>
      <c r="B53" s="1"/>
      <c r="C53" s="20"/>
      <c r="D53" s="20" t="str">
        <f t="shared" ref="D53:O53" ca="1" si="56">IF($O$1,IFERROR(INDIRECT("'"&amp;D$2&amp;"'!"&amp;$D$1&amp;MATCH($B53,INDIRECT("'"&amp;D$2&amp;"'!B1:B"),0)),""),
IFERROR(INDIRECT("'"&amp;D$2&amp;"!"&amp;$D$1&amp;MATCH($B53,INDIRECT("'"&amp;D$2&amp;"'!B:B"),0)),""))</f>
        <v/>
      </c>
      <c r="E53" s="20" t="str">
        <f t="shared" ca="1" si="56"/>
        <v/>
      </c>
      <c r="F53" s="20" t="str">
        <f t="shared" ca="1" si="56"/>
        <v/>
      </c>
      <c r="G53" s="20" t="str">
        <f t="shared" ca="1" si="56"/>
        <v/>
      </c>
      <c r="H53" s="20" t="str">
        <f t="shared" ca="1" si="56"/>
        <v/>
      </c>
      <c r="I53" s="20" t="str">
        <f t="shared" ca="1" si="56"/>
        <v/>
      </c>
      <c r="J53" s="20" t="str">
        <f t="shared" ca="1" si="56"/>
        <v/>
      </c>
      <c r="K53" s="20" t="str">
        <f t="shared" ca="1" si="56"/>
        <v/>
      </c>
      <c r="L53" s="20" t="str">
        <f t="shared" ca="1" si="56"/>
        <v/>
      </c>
      <c r="M53" s="20" t="str">
        <f t="shared" ca="1" si="56"/>
        <v/>
      </c>
      <c r="N53" s="20" t="str">
        <f t="shared" ca="1" si="56"/>
        <v/>
      </c>
      <c r="O53" s="20" t="str">
        <f t="shared" ca="1" si="56"/>
        <v/>
      </c>
      <c r="P53" s="20">
        <f t="shared" ca="1" si="47"/>
        <v>0</v>
      </c>
      <c r="Q53" s="32"/>
      <c r="R53" s="79"/>
      <c r="S53" s="79"/>
      <c r="T53" s="34"/>
      <c r="U53" s="34"/>
      <c r="V53" s="34"/>
      <c r="W53" s="34"/>
    </row>
    <row r="54" spans="1:23" ht="16" hidden="1" x14ac:dyDescent="0.2">
      <c r="A54" s="18"/>
      <c r="B54" s="1"/>
      <c r="C54" s="20"/>
      <c r="D54" s="20" t="str">
        <f t="shared" ref="D54:O54" ca="1" si="57">IF($O$1,IFERROR(INDIRECT("'"&amp;D$2&amp;"'!"&amp;$D$1&amp;MATCH($B54,INDIRECT("'"&amp;D$2&amp;"'!B1:B"),0)),""),
IFERROR(INDIRECT("'"&amp;D$2&amp;"!"&amp;$D$1&amp;MATCH($B54,INDIRECT("'"&amp;D$2&amp;"'!B:B"),0)),""))</f>
        <v/>
      </c>
      <c r="E54" s="20" t="str">
        <f t="shared" ca="1" si="57"/>
        <v/>
      </c>
      <c r="F54" s="20" t="str">
        <f t="shared" ca="1" si="57"/>
        <v/>
      </c>
      <c r="G54" s="20" t="str">
        <f t="shared" ca="1" si="57"/>
        <v/>
      </c>
      <c r="H54" s="20" t="str">
        <f t="shared" ca="1" si="57"/>
        <v/>
      </c>
      <c r="I54" s="20" t="str">
        <f t="shared" ca="1" si="57"/>
        <v/>
      </c>
      <c r="J54" s="20" t="str">
        <f t="shared" ca="1" si="57"/>
        <v/>
      </c>
      <c r="K54" s="20" t="str">
        <f t="shared" ca="1" si="57"/>
        <v/>
      </c>
      <c r="L54" s="20" t="str">
        <f t="shared" ca="1" si="57"/>
        <v/>
      </c>
      <c r="M54" s="20" t="str">
        <f t="shared" ca="1" si="57"/>
        <v/>
      </c>
      <c r="N54" s="20" t="str">
        <f t="shared" ca="1" si="57"/>
        <v/>
      </c>
      <c r="O54" s="20" t="str">
        <f t="shared" ca="1" si="57"/>
        <v/>
      </c>
      <c r="P54" s="20">
        <f t="shared" ca="1" si="47"/>
        <v>0</v>
      </c>
      <c r="Q54" s="32"/>
      <c r="R54" s="79"/>
      <c r="S54" s="79"/>
      <c r="T54" s="34"/>
      <c r="U54" s="34"/>
      <c r="V54" s="34"/>
      <c r="W54" s="34"/>
    </row>
    <row r="55" spans="1:23" ht="16" hidden="1" x14ac:dyDescent="0.2">
      <c r="A55" s="18"/>
      <c r="B55" s="1"/>
      <c r="C55" s="20"/>
      <c r="D55" s="20" t="str">
        <f t="shared" ref="D55:O55" ca="1" si="58">IF($O$1,IFERROR(INDIRECT("'"&amp;D$2&amp;"'!"&amp;$D$1&amp;MATCH($B55,INDIRECT("'"&amp;D$2&amp;"'!B1:B"),0)),""),
IFERROR(INDIRECT("'"&amp;D$2&amp;"!"&amp;$D$1&amp;MATCH($B55,INDIRECT("'"&amp;D$2&amp;"'!B:B"),0)),""))</f>
        <v/>
      </c>
      <c r="E55" s="20" t="str">
        <f t="shared" ca="1" si="58"/>
        <v/>
      </c>
      <c r="F55" s="20" t="str">
        <f t="shared" ca="1" si="58"/>
        <v/>
      </c>
      <c r="G55" s="20" t="str">
        <f t="shared" ca="1" si="58"/>
        <v/>
      </c>
      <c r="H55" s="20" t="str">
        <f t="shared" ca="1" si="58"/>
        <v/>
      </c>
      <c r="I55" s="20" t="str">
        <f t="shared" ca="1" si="58"/>
        <v/>
      </c>
      <c r="J55" s="20" t="str">
        <f t="shared" ca="1" si="58"/>
        <v/>
      </c>
      <c r="K55" s="20" t="str">
        <f t="shared" ca="1" si="58"/>
        <v/>
      </c>
      <c r="L55" s="20" t="str">
        <f t="shared" ca="1" si="58"/>
        <v/>
      </c>
      <c r="M55" s="20" t="str">
        <f t="shared" ca="1" si="58"/>
        <v/>
      </c>
      <c r="N55" s="20" t="str">
        <f t="shared" ca="1" si="58"/>
        <v/>
      </c>
      <c r="O55" s="20" t="str">
        <f t="shared" ca="1" si="58"/>
        <v/>
      </c>
      <c r="P55" s="20">
        <f t="shared" ca="1" si="47"/>
        <v>0</v>
      </c>
      <c r="Q55" s="32"/>
      <c r="R55" s="79"/>
      <c r="S55" s="79"/>
      <c r="T55" s="34"/>
      <c r="U55" s="34"/>
      <c r="V55" s="34"/>
      <c r="W55" s="34"/>
    </row>
    <row r="56" spans="1:23" ht="16" hidden="1" x14ac:dyDescent="0.2">
      <c r="A56" s="84"/>
      <c r="B56" s="85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>
        <f t="shared" si="47"/>
        <v>0</v>
      </c>
      <c r="Q56" s="87"/>
      <c r="R56" s="88"/>
      <c r="S56" s="88"/>
      <c r="T56" s="89"/>
      <c r="U56" s="89"/>
      <c r="V56" s="89"/>
      <c r="W56" s="89"/>
    </row>
    <row r="57" spans="1:23" ht="16" x14ac:dyDescent="0.2">
      <c r="A57" s="60"/>
      <c r="B57" s="61" t="s">
        <v>8</v>
      </c>
      <c r="C57" s="90"/>
      <c r="D57" s="91" t="e">
        <f t="shared" ref="D57:O57" ca="1" si="59">D4-D13-D14</f>
        <v>#VALUE!</v>
      </c>
      <c r="E57" s="91" t="e">
        <f t="shared" ca="1" si="59"/>
        <v>#VALUE!</v>
      </c>
      <c r="F57" s="91" t="e">
        <f t="shared" ca="1" si="59"/>
        <v>#VALUE!</v>
      </c>
      <c r="G57" s="91" t="e">
        <f t="shared" ca="1" si="59"/>
        <v>#VALUE!</v>
      </c>
      <c r="H57" s="91" t="e">
        <f t="shared" ca="1" si="59"/>
        <v>#VALUE!</v>
      </c>
      <c r="I57" s="91" t="e">
        <f t="shared" ca="1" si="59"/>
        <v>#VALUE!</v>
      </c>
      <c r="J57" s="91" t="e">
        <f t="shared" ca="1" si="59"/>
        <v>#VALUE!</v>
      </c>
      <c r="K57" s="91" t="e">
        <f t="shared" ca="1" si="59"/>
        <v>#VALUE!</v>
      </c>
      <c r="L57" s="91" t="e">
        <f t="shared" ca="1" si="59"/>
        <v>#VALUE!</v>
      </c>
      <c r="M57" s="91" t="e">
        <f t="shared" ca="1" si="59"/>
        <v>#VALUE!</v>
      </c>
      <c r="N57" s="91" t="e">
        <f t="shared" ca="1" si="59"/>
        <v>#VALUE!</v>
      </c>
      <c r="O57" s="91" t="e">
        <f t="shared" ca="1" si="59"/>
        <v>#VALUE!</v>
      </c>
      <c r="P57" s="91" t="e">
        <f t="shared" ca="1" si="47"/>
        <v>#VALUE!</v>
      </c>
      <c r="Q57" s="92" t="e">
        <f ca="1">P57/$P$4</f>
        <v>#VALUE!</v>
      </c>
      <c r="R57" s="88"/>
      <c r="S57" s="88"/>
      <c r="T57" s="89"/>
      <c r="U57" s="89"/>
      <c r="V57" s="89"/>
      <c r="W57" s="89"/>
    </row>
    <row r="58" spans="1:23" ht="30" x14ac:dyDescent="0.15">
      <c r="A58" s="66"/>
      <c r="B58" s="67" t="s">
        <v>9</v>
      </c>
      <c r="C58" s="93"/>
      <c r="D58" s="93" t="str">
        <f t="shared" ref="D58:P58" ca="1" si="60">IFERROR(D57/D$4,"")</f>
        <v/>
      </c>
      <c r="E58" s="93" t="str">
        <f t="shared" ca="1" si="60"/>
        <v/>
      </c>
      <c r="F58" s="93" t="str">
        <f t="shared" ca="1" si="60"/>
        <v/>
      </c>
      <c r="G58" s="93" t="str">
        <f t="shared" ca="1" si="60"/>
        <v/>
      </c>
      <c r="H58" s="93" t="str">
        <f t="shared" ca="1" si="60"/>
        <v/>
      </c>
      <c r="I58" s="93" t="str">
        <f t="shared" ca="1" si="60"/>
        <v/>
      </c>
      <c r="J58" s="93" t="str">
        <f t="shared" ca="1" si="60"/>
        <v/>
      </c>
      <c r="K58" s="93" t="str">
        <f t="shared" ca="1" si="60"/>
        <v/>
      </c>
      <c r="L58" s="93" t="str">
        <f t="shared" ca="1" si="60"/>
        <v/>
      </c>
      <c r="M58" s="93" t="str">
        <f t="shared" ca="1" si="60"/>
        <v/>
      </c>
      <c r="N58" s="93" t="str">
        <f t="shared" ca="1" si="60"/>
        <v/>
      </c>
      <c r="O58" s="93" t="str">
        <f t="shared" ca="1" si="60"/>
        <v/>
      </c>
      <c r="P58" s="94" t="str">
        <f t="shared" ca="1" si="60"/>
        <v/>
      </c>
      <c r="Q58" s="95"/>
      <c r="R58" s="96"/>
      <c r="S58" s="96"/>
      <c r="T58" s="97" t="s">
        <v>24</v>
      </c>
      <c r="U58" s="97" t="s">
        <v>25</v>
      </c>
      <c r="V58" s="97" t="s">
        <v>26</v>
      </c>
      <c r="W58" s="97"/>
    </row>
    <row r="59" spans="1:23" ht="14" hidden="1" x14ac:dyDescent="0.2">
      <c r="A59" s="54"/>
      <c r="B59" s="55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>
        <f t="shared" ref="P59:P79" si="61">SUM(D59:O59)</f>
        <v>0</v>
      </c>
      <c r="Q59" s="99"/>
      <c r="R59" s="100"/>
      <c r="S59" s="100"/>
      <c r="T59" s="101"/>
      <c r="U59" s="101"/>
      <c r="V59" s="101"/>
      <c r="W59" s="101"/>
    </row>
    <row r="60" spans="1:23" ht="15" collapsed="1" x14ac:dyDescent="0.15">
      <c r="A60" s="5"/>
      <c r="B60" s="102" t="s">
        <v>10</v>
      </c>
      <c r="C60" s="103"/>
      <c r="D60" s="103">
        <f t="shared" ref="D60:O60" ca="1" si="62">SUM(D61:D79)</f>
        <v>0</v>
      </c>
      <c r="E60" s="103">
        <f t="shared" ca="1" si="62"/>
        <v>0</v>
      </c>
      <c r="F60" s="103">
        <f t="shared" ca="1" si="62"/>
        <v>0</v>
      </c>
      <c r="G60" s="103">
        <f t="shared" ca="1" si="62"/>
        <v>0</v>
      </c>
      <c r="H60" s="103">
        <f t="shared" ca="1" si="62"/>
        <v>0</v>
      </c>
      <c r="I60" s="103">
        <f t="shared" ca="1" si="62"/>
        <v>0</v>
      </c>
      <c r="J60" s="103">
        <f t="shared" ca="1" si="62"/>
        <v>0</v>
      </c>
      <c r="K60" s="103">
        <f t="shared" ca="1" si="62"/>
        <v>0</v>
      </c>
      <c r="L60" s="103">
        <f t="shared" ca="1" si="62"/>
        <v>0</v>
      </c>
      <c r="M60" s="103">
        <f t="shared" ca="1" si="62"/>
        <v>0</v>
      </c>
      <c r="N60" s="103">
        <f t="shared" ca="1" si="62"/>
        <v>0</v>
      </c>
      <c r="O60" s="103">
        <f t="shared" ca="1" si="62"/>
        <v>0</v>
      </c>
      <c r="P60" s="103">
        <f t="shared" ca="1" si="61"/>
        <v>0</v>
      </c>
      <c r="Q60" s="104" t="e">
        <f t="shared" ref="Q60:Q77" ca="1" si="63">P60/$P$4</f>
        <v>#DIV/0!</v>
      </c>
      <c r="R60" s="52"/>
      <c r="S60" s="52" t="s">
        <v>27</v>
      </c>
      <c r="T60" s="105">
        <v>425055</v>
      </c>
      <c r="U60" s="105"/>
      <c r="V60" s="105">
        <v>0</v>
      </c>
      <c r="W60" s="106">
        <f t="shared" ref="W60:W71" si="64">SUM(T60:V60)</f>
        <v>425055</v>
      </c>
    </row>
    <row r="61" spans="1:23" ht="15" hidden="1" outlineLevel="1" x14ac:dyDescent="0.2">
      <c r="A61" s="54"/>
      <c r="B61" s="55" t="str">
        <f ca="1">IFERROR(__xludf.DUMMYFUNCTION("iferror(filter('Статьи'!$A$1:$A167,'Статьи'!$B$1:$B167=$B$60))"),"ФОТ маркетинг")</f>
        <v>ФОТ маркетинг</v>
      </c>
      <c r="C61" s="20"/>
      <c r="D61" s="20" t="str">
        <f t="shared" ref="D61:O61" ca="1" si="65">IF($O$1,IFERROR(INDIRECT("'"&amp;D$2&amp;"'!"&amp;$D$1&amp;MATCH($B61,INDIRECT("'"&amp;D$2&amp;"'!B1:B"),0)),""),
IFERROR(INDIRECT("'"&amp;D$2&amp;"!"&amp;$D$1&amp;MATCH($B61,INDIRECT("'"&amp;D$2&amp;"'!B:B"),0)),""))</f>
        <v/>
      </c>
      <c r="E61" s="20" t="str">
        <f t="shared" ca="1" si="65"/>
        <v/>
      </c>
      <c r="F61" s="20" t="str">
        <f t="shared" ca="1" si="65"/>
        <v/>
      </c>
      <c r="G61" s="20" t="str">
        <f t="shared" ca="1" si="65"/>
        <v/>
      </c>
      <c r="H61" s="20" t="str">
        <f t="shared" ca="1" si="65"/>
        <v/>
      </c>
      <c r="I61" s="20" t="str">
        <f t="shared" ca="1" si="65"/>
        <v/>
      </c>
      <c r="J61" s="20" t="str">
        <f t="shared" ca="1" si="65"/>
        <v/>
      </c>
      <c r="K61" s="20" t="str">
        <f t="shared" ca="1" si="65"/>
        <v/>
      </c>
      <c r="L61" s="20" t="str">
        <f t="shared" ca="1" si="65"/>
        <v/>
      </c>
      <c r="M61" s="20" t="str">
        <f t="shared" ca="1" si="65"/>
        <v/>
      </c>
      <c r="N61" s="20" t="str">
        <f t="shared" ca="1" si="65"/>
        <v/>
      </c>
      <c r="O61" s="20" t="str">
        <f t="shared" ca="1" si="65"/>
        <v/>
      </c>
      <c r="P61" s="20">
        <f t="shared" ca="1" si="61"/>
        <v>0</v>
      </c>
      <c r="Q61" s="51" t="e">
        <f t="shared" ca="1" si="63"/>
        <v>#DIV/0!</v>
      </c>
      <c r="R61" s="107"/>
      <c r="S61" s="52" t="s">
        <v>28</v>
      </c>
      <c r="T61" s="105">
        <v>316994</v>
      </c>
      <c r="U61" s="105">
        <v>64312</v>
      </c>
      <c r="V61" s="105">
        <v>0</v>
      </c>
      <c r="W61" s="106">
        <f t="shared" si="64"/>
        <v>381306</v>
      </c>
    </row>
    <row r="62" spans="1:23" ht="15" hidden="1" outlineLevel="1" x14ac:dyDescent="0.2">
      <c r="A62" s="56"/>
      <c r="B62" s="108" t="str">
        <f ca="1">IFERROR(__xludf.DUMMYFUNCTION("""COMPUTED_VALUE"""),"ФОТ отдел продаж")</f>
        <v>ФОТ отдел продаж</v>
      </c>
      <c r="C62" s="109"/>
      <c r="D62" s="109" t="str">
        <f t="shared" ref="D62:O62" ca="1" si="66">IF($O$1,IFERROR(INDIRECT("'"&amp;D$2&amp;"'!"&amp;$D$1&amp;MATCH($B62,INDIRECT("'"&amp;D$2&amp;"'!B1:B"),0)),""),
IFERROR(INDIRECT("'"&amp;D$2&amp;"!"&amp;$D$1&amp;MATCH($B62,INDIRECT("'"&amp;D$2&amp;"'!B:B"),0)),""))</f>
        <v/>
      </c>
      <c r="E62" s="109" t="str">
        <f t="shared" ca="1" si="66"/>
        <v/>
      </c>
      <c r="F62" s="109" t="str">
        <f t="shared" ca="1" si="66"/>
        <v/>
      </c>
      <c r="G62" s="109" t="str">
        <f t="shared" ca="1" si="66"/>
        <v/>
      </c>
      <c r="H62" s="109" t="str">
        <f t="shared" ca="1" si="66"/>
        <v/>
      </c>
      <c r="I62" s="109" t="str">
        <f t="shared" ca="1" si="66"/>
        <v/>
      </c>
      <c r="J62" s="109" t="str">
        <f t="shared" ca="1" si="66"/>
        <v/>
      </c>
      <c r="K62" s="109" t="str">
        <f t="shared" ca="1" si="66"/>
        <v/>
      </c>
      <c r="L62" s="109" t="str">
        <f t="shared" ca="1" si="66"/>
        <v/>
      </c>
      <c r="M62" s="109" t="str">
        <f t="shared" ca="1" si="66"/>
        <v/>
      </c>
      <c r="N62" s="109" t="str">
        <f t="shared" ca="1" si="66"/>
        <v/>
      </c>
      <c r="O62" s="109" t="str">
        <f t="shared" ca="1" si="66"/>
        <v/>
      </c>
      <c r="P62" s="109">
        <f t="shared" ca="1" si="61"/>
        <v>0</v>
      </c>
      <c r="Q62" s="110" t="e">
        <f t="shared" ca="1" si="63"/>
        <v>#DIV/0!</v>
      </c>
      <c r="R62" s="107"/>
      <c r="S62" s="52" t="s">
        <v>29</v>
      </c>
      <c r="T62" s="105">
        <v>360065</v>
      </c>
      <c r="U62" s="105">
        <v>150996</v>
      </c>
      <c r="V62" s="105">
        <v>0</v>
      </c>
      <c r="W62" s="106">
        <f t="shared" si="64"/>
        <v>511061</v>
      </c>
    </row>
    <row r="63" spans="1:23" ht="15" hidden="1" outlineLevel="1" x14ac:dyDescent="0.2">
      <c r="A63" s="74"/>
      <c r="B63" s="75" t="str">
        <f ca="1">IFERROR(__xludf.DUMMYFUNCTION("""COMPUTED_VALUE"""),"HR персонал")</f>
        <v>HR персонал</v>
      </c>
      <c r="C63" s="20"/>
      <c r="D63" s="20" t="str">
        <f t="shared" ref="D63:O63" ca="1" si="67">IF($O$1,IFERROR(INDIRECT("'"&amp;D$2&amp;"'!"&amp;$D$1&amp;MATCH($B63,INDIRECT("'"&amp;D$2&amp;"'!B1:B"),0)),""),
IFERROR(INDIRECT("'"&amp;D$2&amp;"!"&amp;$D$1&amp;MATCH($B63,INDIRECT("'"&amp;D$2&amp;"'!B:B"),0)),""))</f>
        <v/>
      </c>
      <c r="E63" s="20" t="str">
        <f t="shared" ca="1" si="67"/>
        <v/>
      </c>
      <c r="F63" s="20" t="str">
        <f t="shared" ca="1" si="67"/>
        <v/>
      </c>
      <c r="G63" s="20" t="str">
        <f t="shared" ca="1" si="67"/>
        <v/>
      </c>
      <c r="H63" s="20" t="str">
        <f t="shared" ca="1" si="67"/>
        <v/>
      </c>
      <c r="I63" s="20" t="str">
        <f t="shared" ca="1" si="67"/>
        <v/>
      </c>
      <c r="J63" s="20" t="str">
        <f t="shared" ca="1" si="67"/>
        <v/>
      </c>
      <c r="K63" s="20" t="str">
        <f t="shared" ca="1" si="67"/>
        <v/>
      </c>
      <c r="L63" s="20" t="str">
        <f t="shared" ca="1" si="67"/>
        <v/>
      </c>
      <c r="M63" s="20" t="str">
        <f t="shared" ca="1" si="67"/>
        <v/>
      </c>
      <c r="N63" s="20" t="str">
        <f t="shared" ca="1" si="67"/>
        <v/>
      </c>
      <c r="O63" s="20" t="str">
        <f t="shared" ca="1" si="67"/>
        <v/>
      </c>
      <c r="P63" s="20">
        <f t="shared" ca="1" si="61"/>
        <v>0</v>
      </c>
      <c r="Q63" s="51" t="e">
        <f t="shared" ca="1" si="63"/>
        <v>#DIV/0!</v>
      </c>
      <c r="R63" s="52"/>
      <c r="S63" s="52" t="s">
        <v>30</v>
      </c>
      <c r="T63" s="105">
        <v>319425</v>
      </c>
      <c r="U63" s="105">
        <v>187379</v>
      </c>
      <c r="V63" s="105">
        <v>26811</v>
      </c>
      <c r="W63" s="106">
        <f t="shared" si="64"/>
        <v>533615</v>
      </c>
    </row>
    <row r="64" spans="1:23" ht="15" hidden="1" outlineLevel="1" x14ac:dyDescent="0.2">
      <c r="A64" s="56"/>
      <c r="B64" s="108" t="str">
        <f ca="1">IFERROR(__xludf.DUMMYFUNCTION("""COMPUTED_VALUE"""),"Административный персонал")</f>
        <v>Административный персонал</v>
      </c>
      <c r="C64" s="109"/>
      <c r="D64" s="109" t="str">
        <f t="shared" ref="D64:O64" ca="1" si="68">IF($O$1,IFERROR(INDIRECT("'"&amp;D$2&amp;"'!"&amp;$D$1&amp;MATCH($B64,INDIRECT("'"&amp;D$2&amp;"'!B1:B"),0)),""),
IFERROR(INDIRECT("'"&amp;D$2&amp;"!"&amp;$D$1&amp;MATCH($B64,INDIRECT("'"&amp;D$2&amp;"'!B:B"),0)),""))</f>
        <v/>
      </c>
      <c r="E64" s="109" t="str">
        <f t="shared" ca="1" si="68"/>
        <v/>
      </c>
      <c r="F64" s="109" t="str">
        <f t="shared" ca="1" si="68"/>
        <v/>
      </c>
      <c r="G64" s="109" t="str">
        <f t="shared" ca="1" si="68"/>
        <v/>
      </c>
      <c r="H64" s="109" t="str">
        <f t="shared" ca="1" si="68"/>
        <v/>
      </c>
      <c r="I64" s="109" t="str">
        <f t="shared" ca="1" si="68"/>
        <v/>
      </c>
      <c r="J64" s="109" t="str">
        <f t="shared" ca="1" si="68"/>
        <v/>
      </c>
      <c r="K64" s="109" t="str">
        <f t="shared" ca="1" si="68"/>
        <v/>
      </c>
      <c r="L64" s="109" t="str">
        <f t="shared" ca="1" si="68"/>
        <v/>
      </c>
      <c r="M64" s="109" t="str">
        <f t="shared" ca="1" si="68"/>
        <v/>
      </c>
      <c r="N64" s="109" t="str">
        <f t="shared" ca="1" si="68"/>
        <v/>
      </c>
      <c r="O64" s="109" t="str">
        <f t="shared" ca="1" si="68"/>
        <v/>
      </c>
      <c r="P64" s="109">
        <f t="shared" ca="1" si="61"/>
        <v>0</v>
      </c>
      <c r="Q64" s="110" t="e">
        <f t="shared" ca="1" si="63"/>
        <v>#DIV/0!</v>
      </c>
      <c r="R64" s="52"/>
      <c r="S64" s="52" t="s">
        <v>31</v>
      </c>
      <c r="T64" s="105">
        <v>52590</v>
      </c>
      <c r="U64" s="105">
        <v>595193</v>
      </c>
      <c r="V64" s="105">
        <v>309290</v>
      </c>
      <c r="W64" s="106">
        <f t="shared" si="64"/>
        <v>957073</v>
      </c>
    </row>
    <row r="65" spans="1:23" ht="15" hidden="1" outlineLevel="1" x14ac:dyDescent="0.2">
      <c r="A65" s="54"/>
      <c r="B65" s="58" t="str">
        <f ca="1">IFERROR(__xludf.DUMMYFUNCTION("""COMPUTED_VALUE"""),"Налог на ФОТ")</f>
        <v>Налог на ФОТ</v>
      </c>
      <c r="C65" s="111"/>
      <c r="D65" s="20" t="str">
        <f t="shared" ref="D65:O65" ca="1" si="69">IF($O$1,IFERROR(INDIRECT("'"&amp;D$2&amp;"'!"&amp;$D$1&amp;MATCH($B65,INDIRECT("'"&amp;D$2&amp;"'!B1:B"),0)),""),
IFERROR(INDIRECT("'"&amp;D$2&amp;"!"&amp;$D$1&amp;MATCH($B65,INDIRECT("'"&amp;D$2&amp;"'!B:B"),0)),""))</f>
        <v/>
      </c>
      <c r="E65" s="20" t="str">
        <f t="shared" ca="1" si="69"/>
        <v/>
      </c>
      <c r="F65" s="20" t="str">
        <f t="shared" ca="1" si="69"/>
        <v/>
      </c>
      <c r="G65" s="20" t="str">
        <f t="shared" ca="1" si="69"/>
        <v/>
      </c>
      <c r="H65" s="20" t="str">
        <f t="shared" ca="1" si="69"/>
        <v/>
      </c>
      <c r="I65" s="20" t="str">
        <f t="shared" ca="1" si="69"/>
        <v/>
      </c>
      <c r="J65" s="20" t="str">
        <f t="shared" ca="1" si="69"/>
        <v/>
      </c>
      <c r="K65" s="20" t="str">
        <f t="shared" ca="1" si="69"/>
        <v/>
      </c>
      <c r="L65" s="20" t="str">
        <f t="shared" ca="1" si="69"/>
        <v/>
      </c>
      <c r="M65" s="20" t="str">
        <f t="shared" ca="1" si="69"/>
        <v/>
      </c>
      <c r="N65" s="20" t="str">
        <f t="shared" ca="1" si="69"/>
        <v/>
      </c>
      <c r="O65" s="20" t="str">
        <f t="shared" ca="1" si="69"/>
        <v/>
      </c>
      <c r="P65" s="111">
        <f t="shared" ca="1" si="61"/>
        <v>0</v>
      </c>
      <c r="Q65" s="112" t="e">
        <f t="shared" ca="1" si="63"/>
        <v>#DIV/0!</v>
      </c>
      <c r="R65" s="52"/>
      <c r="S65" s="52" t="s">
        <v>32</v>
      </c>
      <c r="T65" s="105">
        <v>15975</v>
      </c>
      <c r="U65" s="105">
        <v>766730</v>
      </c>
      <c r="V65" s="105">
        <v>67648</v>
      </c>
      <c r="W65" s="106">
        <f t="shared" si="64"/>
        <v>850353</v>
      </c>
    </row>
    <row r="66" spans="1:23" ht="15" hidden="1" outlineLevel="1" x14ac:dyDescent="0.2">
      <c r="A66" s="54"/>
      <c r="B66" s="113" t="str">
        <f ca="1">IFERROR(__xludf.DUMMYFUNCTION("""COMPUTED_VALUE"""),"Расходы на персонал")</f>
        <v>Расходы на персонал</v>
      </c>
      <c r="C66" s="109"/>
      <c r="D66" s="109" t="str">
        <f t="shared" ref="D66:O66" ca="1" si="70">IF($O$1,IFERROR(INDIRECT("'"&amp;D$2&amp;"'!"&amp;$D$1&amp;MATCH($B66,INDIRECT("'"&amp;D$2&amp;"'!B1:B"),0)),""),
IFERROR(INDIRECT("'"&amp;D$2&amp;"!"&amp;$D$1&amp;MATCH($B66,INDIRECT("'"&amp;D$2&amp;"'!B:B"),0)),""))</f>
        <v/>
      </c>
      <c r="E66" s="109" t="str">
        <f t="shared" ca="1" si="70"/>
        <v/>
      </c>
      <c r="F66" s="109" t="str">
        <f t="shared" ca="1" si="70"/>
        <v/>
      </c>
      <c r="G66" s="109" t="str">
        <f t="shared" ca="1" si="70"/>
        <v/>
      </c>
      <c r="H66" s="109" t="str">
        <f t="shared" ca="1" si="70"/>
        <v/>
      </c>
      <c r="I66" s="109" t="str">
        <f t="shared" ca="1" si="70"/>
        <v/>
      </c>
      <c r="J66" s="109" t="str">
        <f t="shared" ca="1" si="70"/>
        <v/>
      </c>
      <c r="K66" s="109" t="str">
        <f t="shared" ca="1" si="70"/>
        <v/>
      </c>
      <c r="L66" s="109" t="str">
        <f t="shared" ca="1" si="70"/>
        <v/>
      </c>
      <c r="M66" s="109" t="str">
        <f t="shared" ca="1" si="70"/>
        <v/>
      </c>
      <c r="N66" s="109" t="str">
        <f t="shared" ca="1" si="70"/>
        <v/>
      </c>
      <c r="O66" s="109" t="str">
        <f t="shared" ca="1" si="70"/>
        <v/>
      </c>
      <c r="P66" s="109">
        <f t="shared" ca="1" si="61"/>
        <v>0</v>
      </c>
      <c r="Q66" s="110" t="e">
        <f t="shared" ca="1" si="63"/>
        <v>#DIV/0!</v>
      </c>
      <c r="R66" s="52"/>
      <c r="S66" s="52" t="s">
        <v>33</v>
      </c>
      <c r="T66" s="105">
        <v>54720</v>
      </c>
      <c r="U66" s="105">
        <v>56189</v>
      </c>
      <c r="V66" s="105">
        <v>34516</v>
      </c>
      <c r="W66" s="106">
        <f t="shared" si="64"/>
        <v>145425</v>
      </c>
    </row>
    <row r="67" spans="1:23" ht="15" hidden="1" outlineLevel="1" x14ac:dyDescent="0.2">
      <c r="A67" s="56"/>
      <c r="B67" s="57" t="str">
        <f ca="1">IFERROR(__xludf.DUMMYFUNCTION("""COMPUTED_VALUE"""),"Франшиза/роялти")</f>
        <v>Франшиза/роялти</v>
      </c>
      <c r="C67" s="20"/>
      <c r="D67" s="20" t="str">
        <f t="shared" ref="D67:O67" ca="1" si="71">IF($O$1,IFERROR(INDIRECT("'"&amp;D$2&amp;"'!"&amp;$D$1&amp;MATCH($B67,INDIRECT("'"&amp;D$2&amp;"'!B1:B"),0)),""),
IFERROR(INDIRECT("'"&amp;D$2&amp;"!"&amp;$D$1&amp;MATCH($B67,INDIRECT("'"&amp;D$2&amp;"'!B:B"),0)),""))</f>
        <v/>
      </c>
      <c r="E67" s="20" t="str">
        <f t="shared" ca="1" si="71"/>
        <v/>
      </c>
      <c r="F67" s="20" t="str">
        <f t="shared" ca="1" si="71"/>
        <v/>
      </c>
      <c r="G67" s="20" t="str">
        <f t="shared" ca="1" si="71"/>
        <v/>
      </c>
      <c r="H67" s="20" t="str">
        <f t="shared" ca="1" si="71"/>
        <v/>
      </c>
      <c r="I67" s="20" t="str">
        <f t="shared" ca="1" si="71"/>
        <v/>
      </c>
      <c r="J67" s="20" t="str">
        <f t="shared" ca="1" si="71"/>
        <v/>
      </c>
      <c r="K67" s="20" t="str">
        <f t="shared" ca="1" si="71"/>
        <v/>
      </c>
      <c r="L67" s="20" t="str">
        <f t="shared" ca="1" si="71"/>
        <v/>
      </c>
      <c r="M67" s="20" t="str">
        <f t="shared" ca="1" si="71"/>
        <v/>
      </c>
      <c r="N67" s="20" t="str">
        <f t="shared" ca="1" si="71"/>
        <v/>
      </c>
      <c r="O67" s="20" t="str">
        <f t="shared" ca="1" si="71"/>
        <v/>
      </c>
      <c r="P67" s="20">
        <f t="shared" ca="1" si="61"/>
        <v>0</v>
      </c>
      <c r="Q67" s="51" t="e">
        <f t="shared" ca="1" si="63"/>
        <v>#DIV/0!</v>
      </c>
      <c r="R67" s="52"/>
      <c r="S67" s="52" t="s">
        <v>34</v>
      </c>
      <c r="T67" s="105">
        <v>41964</v>
      </c>
      <c r="U67" s="105">
        <v>100950</v>
      </c>
      <c r="V67" s="105">
        <v>107538</v>
      </c>
      <c r="W67" s="106">
        <f t="shared" si="64"/>
        <v>250452</v>
      </c>
    </row>
    <row r="68" spans="1:23" ht="15" hidden="1" outlineLevel="1" x14ac:dyDescent="0.2">
      <c r="A68" s="56"/>
      <c r="B68" s="108" t="str">
        <f ca="1">IFERROR(__xludf.DUMMYFUNCTION("""COMPUTED_VALUE"""),"Аренда, коммуналка офис")</f>
        <v>Аренда, коммуналка офис</v>
      </c>
      <c r="C68" s="109"/>
      <c r="D68" s="109" t="str">
        <f t="shared" ref="D68:O68" ca="1" si="72">IF($O$1,IFERROR(INDIRECT("'"&amp;D$2&amp;"'!"&amp;$D$1&amp;MATCH($B68,INDIRECT("'"&amp;D$2&amp;"'!B1:B"),0)),""),
IFERROR(INDIRECT("'"&amp;D$2&amp;"!"&amp;$D$1&amp;MATCH($B68,INDIRECT("'"&amp;D$2&amp;"'!B:B"),0)),""))</f>
        <v/>
      </c>
      <c r="E68" s="109" t="str">
        <f t="shared" ca="1" si="72"/>
        <v/>
      </c>
      <c r="F68" s="109" t="str">
        <f t="shared" ca="1" si="72"/>
        <v/>
      </c>
      <c r="G68" s="109" t="str">
        <f t="shared" ca="1" si="72"/>
        <v/>
      </c>
      <c r="H68" s="109" t="str">
        <f t="shared" ca="1" si="72"/>
        <v/>
      </c>
      <c r="I68" s="109" t="str">
        <f t="shared" ca="1" si="72"/>
        <v/>
      </c>
      <c r="J68" s="109" t="str">
        <f t="shared" ca="1" si="72"/>
        <v/>
      </c>
      <c r="K68" s="109" t="str">
        <f t="shared" ca="1" si="72"/>
        <v/>
      </c>
      <c r="L68" s="109" t="str">
        <f t="shared" ca="1" si="72"/>
        <v/>
      </c>
      <c r="M68" s="109" t="str">
        <f t="shared" ca="1" si="72"/>
        <v/>
      </c>
      <c r="N68" s="109" t="str">
        <f t="shared" ca="1" si="72"/>
        <v/>
      </c>
      <c r="O68" s="109" t="str">
        <f t="shared" ca="1" si="72"/>
        <v/>
      </c>
      <c r="P68" s="109">
        <f t="shared" ca="1" si="61"/>
        <v>0</v>
      </c>
      <c r="Q68" s="110" t="e">
        <f t="shared" ca="1" si="63"/>
        <v>#DIV/0!</v>
      </c>
      <c r="R68" s="52"/>
      <c r="S68" s="52" t="s">
        <v>35</v>
      </c>
      <c r="T68" s="105">
        <v>1551</v>
      </c>
      <c r="U68" s="105">
        <v>157116</v>
      </c>
      <c r="V68" s="105">
        <v>101508</v>
      </c>
      <c r="W68" s="106">
        <f t="shared" si="64"/>
        <v>260175</v>
      </c>
    </row>
    <row r="69" spans="1:23" ht="15" hidden="1" outlineLevel="1" x14ac:dyDescent="0.2">
      <c r="A69" s="56"/>
      <c r="B69" s="57" t="str">
        <f ca="1">IFERROR(__xludf.DUMMYFUNCTION("""COMPUTED_VALUE"""),"Интернет, телефония")</f>
        <v>Интернет, телефония</v>
      </c>
      <c r="C69" s="20"/>
      <c r="D69" s="20" t="str">
        <f t="shared" ref="D69:O69" ca="1" si="73">IF($O$1,IFERROR(INDIRECT("'"&amp;D$2&amp;"'!"&amp;$D$1&amp;MATCH($B69,INDIRECT("'"&amp;D$2&amp;"'!B1:B"),0)),""),
IFERROR(INDIRECT("'"&amp;D$2&amp;"!"&amp;$D$1&amp;MATCH($B69,INDIRECT("'"&amp;D$2&amp;"'!B:B"),0)),""))</f>
        <v/>
      </c>
      <c r="E69" s="20" t="str">
        <f t="shared" ca="1" si="73"/>
        <v/>
      </c>
      <c r="F69" s="20" t="str">
        <f t="shared" ca="1" si="73"/>
        <v/>
      </c>
      <c r="G69" s="20" t="str">
        <f t="shared" ca="1" si="73"/>
        <v/>
      </c>
      <c r="H69" s="20" t="str">
        <f t="shared" ca="1" si="73"/>
        <v/>
      </c>
      <c r="I69" s="20" t="str">
        <f t="shared" ca="1" si="73"/>
        <v/>
      </c>
      <c r="J69" s="20" t="str">
        <f t="shared" ca="1" si="73"/>
        <v/>
      </c>
      <c r="K69" s="20" t="str">
        <f t="shared" ca="1" si="73"/>
        <v/>
      </c>
      <c r="L69" s="20" t="str">
        <f t="shared" ca="1" si="73"/>
        <v/>
      </c>
      <c r="M69" s="20" t="str">
        <f t="shared" ca="1" si="73"/>
        <v/>
      </c>
      <c r="N69" s="20" t="str">
        <f t="shared" ca="1" si="73"/>
        <v/>
      </c>
      <c r="O69" s="20" t="str">
        <f t="shared" ca="1" si="73"/>
        <v/>
      </c>
      <c r="P69" s="20">
        <f t="shared" ca="1" si="61"/>
        <v>0</v>
      </c>
      <c r="Q69" s="51" t="e">
        <f t="shared" ca="1" si="63"/>
        <v>#DIV/0!</v>
      </c>
      <c r="R69" s="52"/>
      <c r="S69" s="52" t="s">
        <v>36</v>
      </c>
      <c r="T69" s="105">
        <v>122950</v>
      </c>
      <c r="U69" s="105">
        <v>100388</v>
      </c>
      <c r="V69" s="105">
        <v>114508</v>
      </c>
      <c r="W69" s="106">
        <f t="shared" si="64"/>
        <v>337846</v>
      </c>
    </row>
    <row r="70" spans="1:23" ht="15" hidden="1" outlineLevel="1" x14ac:dyDescent="0.2">
      <c r="A70" s="56"/>
      <c r="B70" s="108" t="str">
        <f ca="1">IFERROR(__xludf.DUMMYFUNCTION("""COMPUTED_VALUE"""),"Программы, базы для работы")</f>
        <v>Программы, базы для работы</v>
      </c>
      <c r="C70" s="109"/>
      <c r="D70" s="109" t="str">
        <f t="shared" ref="D70:O70" ca="1" si="74">IF($O$1,IFERROR(INDIRECT("'"&amp;D$2&amp;"'!"&amp;$D$1&amp;MATCH($B70,INDIRECT("'"&amp;D$2&amp;"'!B1:B"),0)),""),
IFERROR(INDIRECT("'"&amp;D$2&amp;"!"&amp;$D$1&amp;MATCH($B70,INDIRECT("'"&amp;D$2&amp;"'!B:B"),0)),""))</f>
        <v/>
      </c>
      <c r="E70" s="109" t="str">
        <f t="shared" ca="1" si="74"/>
        <v/>
      </c>
      <c r="F70" s="109" t="str">
        <f t="shared" ca="1" si="74"/>
        <v/>
      </c>
      <c r="G70" s="109" t="str">
        <f t="shared" ca="1" si="74"/>
        <v/>
      </c>
      <c r="H70" s="109" t="str">
        <f t="shared" ca="1" si="74"/>
        <v/>
      </c>
      <c r="I70" s="109" t="str">
        <f t="shared" ca="1" si="74"/>
        <v/>
      </c>
      <c r="J70" s="109" t="str">
        <f t="shared" ca="1" si="74"/>
        <v/>
      </c>
      <c r="K70" s="109" t="str">
        <f t="shared" ca="1" si="74"/>
        <v/>
      </c>
      <c r="L70" s="109" t="str">
        <f t="shared" ca="1" si="74"/>
        <v/>
      </c>
      <c r="M70" s="109" t="str">
        <f t="shared" ca="1" si="74"/>
        <v/>
      </c>
      <c r="N70" s="109" t="str">
        <f t="shared" ca="1" si="74"/>
        <v/>
      </c>
      <c r="O70" s="109" t="str">
        <f t="shared" ca="1" si="74"/>
        <v/>
      </c>
      <c r="P70" s="109">
        <f t="shared" ca="1" si="61"/>
        <v>0</v>
      </c>
      <c r="Q70" s="110" t="e">
        <f t="shared" ca="1" si="63"/>
        <v>#DIV/0!</v>
      </c>
      <c r="R70" s="52"/>
      <c r="S70" s="52" t="s">
        <v>37</v>
      </c>
      <c r="T70" s="105">
        <f>366+35140+44454</f>
        <v>79960</v>
      </c>
      <c r="U70" s="105">
        <f>18189+47329+23686+21433</f>
        <v>110637</v>
      </c>
      <c r="V70" s="105">
        <f>72472</f>
        <v>72472</v>
      </c>
      <c r="W70" s="106">
        <f t="shared" si="64"/>
        <v>263069</v>
      </c>
    </row>
    <row r="71" spans="1:23" ht="15" hidden="1" outlineLevel="1" x14ac:dyDescent="0.2">
      <c r="A71" s="56"/>
      <c r="B71" s="57" t="str">
        <f ca="1">IFERROR(__xludf.DUMMYFUNCTION("""COMPUTED_VALUE"""),"Поиск персонала")</f>
        <v>Поиск персонала</v>
      </c>
      <c r="C71" s="20"/>
      <c r="D71" s="20" t="str">
        <f t="shared" ref="D71:O71" ca="1" si="75">IF($O$1,IFERROR(INDIRECT("'"&amp;D$2&amp;"'!"&amp;$D$1&amp;MATCH($B71,INDIRECT("'"&amp;D$2&amp;"'!B1:B"),0)),""),
IFERROR(INDIRECT("'"&amp;D$2&amp;"!"&amp;$D$1&amp;MATCH($B71,INDIRECT("'"&amp;D$2&amp;"'!B:B"),0)),""))</f>
        <v/>
      </c>
      <c r="E71" s="20" t="str">
        <f t="shared" ca="1" si="75"/>
        <v/>
      </c>
      <c r="F71" s="20" t="str">
        <f t="shared" ca="1" si="75"/>
        <v/>
      </c>
      <c r="G71" s="20" t="str">
        <f t="shared" ca="1" si="75"/>
        <v/>
      </c>
      <c r="H71" s="20" t="str">
        <f t="shared" ca="1" si="75"/>
        <v/>
      </c>
      <c r="I71" s="20" t="str">
        <f t="shared" ca="1" si="75"/>
        <v/>
      </c>
      <c r="J71" s="20" t="str">
        <f t="shared" ca="1" si="75"/>
        <v/>
      </c>
      <c r="K71" s="20" t="str">
        <f t="shared" ca="1" si="75"/>
        <v/>
      </c>
      <c r="L71" s="20" t="str">
        <f t="shared" ca="1" si="75"/>
        <v/>
      </c>
      <c r="M71" s="20" t="str">
        <f t="shared" ca="1" si="75"/>
        <v/>
      </c>
      <c r="N71" s="20" t="str">
        <f t="shared" ca="1" si="75"/>
        <v/>
      </c>
      <c r="O71" s="20" t="str">
        <f t="shared" ca="1" si="75"/>
        <v/>
      </c>
      <c r="P71" s="20">
        <f t="shared" ca="1" si="61"/>
        <v>0</v>
      </c>
      <c r="Q71" s="51" t="e">
        <f t="shared" ca="1" si="63"/>
        <v>#DIV/0!</v>
      </c>
      <c r="R71" s="52"/>
      <c r="S71" s="52" t="s">
        <v>38</v>
      </c>
      <c r="T71" s="105">
        <f>20116+690+14807</f>
        <v>35613</v>
      </c>
      <c r="U71" s="105">
        <f>22856+27504+58473+22266</f>
        <v>131099</v>
      </c>
      <c r="V71" s="105"/>
      <c r="W71" s="106">
        <f t="shared" si="64"/>
        <v>166712</v>
      </c>
    </row>
    <row r="72" spans="1:23" ht="15" hidden="1" outlineLevel="1" x14ac:dyDescent="0.2">
      <c r="A72" s="56"/>
      <c r="B72" s="108" t="str">
        <f ca="1">IFERROR(__xludf.DUMMYFUNCTION("""COMPUTED_VALUE"""),"Содержание офиса")</f>
        <v>Содержание офиса</v>
      </c>
      <c r="C72" s="109"/>
      <c r="D72" s="109" t="str">
        <f t="shared" ref="D72:O72" ca="1" si="76">IF($O$1,IFERROR(INDIRECT("'"&amp;D$2&amp;"'!"&amp;$D$1&amp;MATCH($B72,INDIRECT("'"&amp;D$2&amp;"'!B1:B"),0)),""),
IFERROR(INDIRECT("'"&amp;D$2&amp;"!"&amp;$D$1&amp;MATCH($B72,INDIRECT("'"&amp;D$2&amp;"'!B:B"),0)),""))</f>
        <v/>
      </c>
      <c r="E72" s="109" t="str">
        <f t="shared" ca="1" si="76"/>
        <v/>
      </c>
      <c r="F72" s="109" t="str">
        <f t="shared" ca="1" si="76"/>
        <v/>
      </c>
      <c r="G72" s="109" t="str">
        <f t="shared" ca="1" si="76"/>
        <v/>
      </c>
      <c r="H72" s="109" t="str">
        <f t="shared" ca="1" si="76"/>
        <v/>
      </c>
      <c r="I72" s="109" t="str">
        <f t="shared" ca="1" si="76"/>
        <v/>
      </c>
      <c r="J72" s="109" t="str">
        <f t="shared" ca="1" si="76"/>
        <v/>
      </c>
      <c r="K72" s="109" t="str">
        <f t="shared" ca="1" si="76"/>
        <v/>
      </c>
      <c r="L72" s="109" t="str">
        <f t="shared" ca="1" si="76"/>
        <v/>
      </c>
      <c r="M72" s="109" t="str">
        <f t="shared" ca="1" si="76"/>
        <v/>
      </c>
      <c r="N72" s="109" t="str">
        <f t="shared" ca="1" si="76"/>
        <v/>
      </c>
      <c r="O72" s="109" t="str">
        <f t="shared" ca="1" si="76"/>
        <v/>
      </c>
      <c r="P72" s="109">
        <f t="shared" ca="1" si="61"/>
        <v>0</v>
      </c>
      <c r="Q72" s="110" t="e">
        <f t="shared" ca="1" si="63"/>
        <v>#DIV/0!</v>
      </c>
      <c r="R72" s="52"/>
      <c r="S72" s="52"/>
      <c r="T72" s="105">
        <f t="shared" ref="T72:U72" si="77">SUM(T60:T71)</f>
        <v>1826862</v>
      </c>
      <c r="U72" s="105">
        <f t="shared" si="77"/>
        <v>2420989</v>
      </c>
      <c r="V72" s="105"/>
      <c r="W72" s="105"/>
    </row>
    <row r="73" spans="1:23" ht="15" hidden="1" outlineLevel="1" x14ac:dyDescent="0.2">
      <c r="A73" s="56"/>
      <c r="B73" s="57" t="str">
        <f ca="1">IFERROR(__xludf.DUMMYFUNCTION("""COMPUTED_VALUE"""),"Обучение, мероприятия")</f>
        <v>Обучение, мероприятия</v>
      </c>
      <c r="C73" s="20"/>
      <c r="D73" s="20" t="str">
        <f t="shared" ref="D73:O73" ca="1" si="78">IF($O$1,IFERROR(INDIRECT("'"&amp;D$2&amp;"'!"&amp;$D$1&amp;MATCH($B73,INDIRECT("'"&amp;D$2&amp;"'!B1:B"),0)),""),
IFERROR(INDIRECT("'"&amp;D$2&amp;"!"&amp;$D$1&amp;MATCH($B73,INDIRECT("'"&amp;D$2&amp;"'!B:B"),0)),""))</f>
        <v/>
      </c>
      <c r="E73" s="20" t="str">
        <f t="shared" ca="1" si="78"/>
        <v/>
      </c>
      <c r="F73" s="20" t="str">
        <f t="shared" ca="1" si="78"/>
        <v/>
      </c>
      <c r="G73" s="20" t="str">
        <f t="shared" ca="1" si="78"/>
        <v/>
      </c>
      <c r="H73" s="20" t="str">
        <f t="shared" ca="1" si="78"/>
        <v/>
      </c>
      <c r="I73" s="20" t="str">
        <f t="shared" ca="1" si="78"/>
        <v/>
      </c>
      <c r="J73" s="20" t="str">
        <f t="shared" ca="1" si="78"/>
        <v/>
      </c>
      <c r="K73" s="20" t="str">
        <f t="shared" ca="1" si="78"/>
        <v/>
      </c>
      <c r="L73" s="20" t="str">
        <f t="shared" ca="1" si="78"/>
        <v/>
      </c>
      <c r="M73" s="20" t="str">
        <f t="shared" ca="1" si="78"/>
        <v/>
      </c>
      <c r="N73" s="20" t="str">
        <f t="shared" ca="1" si="78"/>
        <v/>
      </c>
      <c r="O73" s="20" t="str">
        <f t="shared" ca="1" si="78"/>
        <v/>
      </c>
      <c r="P73" s="20">
        <f t="shared" ca="1" si="61"/>
        <v>0</v>
      </c>
      <c r="Q73" s="51" t="e">
        <f t="shared" ca="1" si="63"/>
        <v>#DIV/0!</v>
      </c>
      <c r="R73" s="52"/>
      <c r="S73" s="52"/>
      <c r="T73" s="114"/>
      <c r="U73" s="114"/>
      <c r="V73" s="114"/>
      <c r="W73" s="114"/>
    </row>
    <row r="74" spans="1:23" ht="16" hidden="1" outlineLevel="1" x14ac:dyDescent="0.2">
      <c r="A74" s="54"/>
      <c r="B74" s="113" t="str">
        <f ca="1">IFERROR(__xludf.DUMMYFUNCTION("""COMPUTED_VALUE"""),"Корпоративные мероприятия")</f>
        <v>Корпоративные мероприятия</v>
      </c>
      <c r="C74" s="109"/>
      <c r="D74" s="109" t="str">
        <f t="shared" ref="D74:O74" ca="1" si="79">IF($O$1,IFERROR(INDIRECT("'"&amp;D$2&amp;"'!"&amp;$D$1&amp;MATCH($B74,INDIRECT("'"&amp;D$2&amp;"'!B1:B"),0)),""),
IFERROR(INDIRECT("'"&amp;D$2&amp;"!"&amp;$D$1&amp;MATCH($B74,INDIRECT("'"&amp;D$2&amp;"'!B:B"),0)),""))</f>
        <v/>
      </c>
      <c r="E74" s="109" t="str">
        <f t="shared" ca="1" si="79"/>
        <v/>
      </c>
      <c r="F74" s="109" t="str">
        <f t="shared" ca="1" si="79"/>
        <v/>
      </c>
      <c r="G74" s="109" t="str">
        <f t="shared" ca="1" si="79"/>
        <v/>
      </c>
      <c r="H74" s="109" t="str">
        <f t="shared" ca="1" si="79"/>
        <v/>
      </c>
      <c r="I74" s="109" t="str">
        <f t="shared" ca="1" si="79"/>
        <v/>
      </c>
      <c r="J74" s="109" t="str">
        <f t="shared" ca="1" si="79"/>
        <v/>
      </c>
      <c r="K74" s="109" t="str">
        <f t="shared" ca="1" si="79"/>
        <v/>
      </c>
      <c r="L74" s="109" t="str">
        <f t="shared" ca="1" si="79"/>
        <v/>
      </c>
      <c r="M74" s="109" t="str">
        <f t="shared" ca="1" si="79"/>
        <v/>
      </c>
      <c r="N74" s="109" t="str">
        <f t="shared" ca="1" si="79"/>
        <v/>
      </c>
      <c r="O74" s="109" t="str">
        <f t="shared" ca="1" si="79"/>
        <v/>
      </c>
      <c r="P74" s="109">
        <f t="shared" ca="1" si="61"/>
        <v>0</v>
      </c>
      <c r="Q74" s="110" t="e">
        <f t="shared" ca="1" si="63"/>
        <v>#DIV/0!</v>
      </c>
      <c r="R74" s="79"/>
      <c r="S74" s="79"/>
      <c r="T74" s="114"/>
      <c r="U74" s="114"/>
      <c r="V74" s="114"/>
      <c r="W74" s="114"/>
    </row>
    <row r="75" spans="1:23" ht="30" hidden="1" outlineLevel="1" x14ac:dyDescent="0.2">
      <c r="A75" s="54"/>
      <c r="B75" s="55" t="str">
        <f ca="1">IFERROR(__xludf.DUMMYFUNCTION("""COMPUTED_VALUE"""),"Транспортные, представительские, командировочные расходы")</f>
        <v>Транспортные, представительские, командировочные расходы</v>
      </c>
      <c r="C75" s="20"/>
      <c r="D75" s="20" t="str">
        <f t="shared" ref="D75:O75" ca="1" si="80">IF($O$1,IFERROR(INDIRECT("'"&amp;D$2&amp;"'!"&amp;$D$1&amp;MATCH($B75,INDIRECT("'"&amp;D$2&amp;"'!B1:B"),0)),""),
IFERROR(INDIRECT("'"&amp;D$2&amp;"!"&amp;$D$1&amp;MATCH($B75,INDIRECT("'"&amp;D$2&amp;"'!B:B"),0)),""))</f>
        <v/>
      </c>
      <c r="E75" s="20" t="str">
        <f t="shared" ca="1" si="80"/>
        <v/>
      </c>
      <c r="F75" s="20" t="str">
        <f t="shared" ca="1" si="80"/>
        <v/>
      </c>
      <c r="G75" s="20" t="str">
        <f t="shared" ca="1" si="80"/>
        <v/>
      </c>
      <c r="H75" s="20" t="str">
        <f t="shared" ca="1" si="80"/>
        <v/>
      </c>
      <c r="I75" s="20" t="str">
        <f t="shared" ca="1" si="80"/>
        <v/>
      </c>
      <c r="J75" s="20" t="str">
        <f t="shared" ca="1" si="80"/>
        <v/>
      </c>
      <c r="K75" s="20" t="str">
        <f t="shared" ca="1" si="80"/>
        <v/>
      </c>
      <c r="L75" s="20" t="str">
        <f t="shared" ca="1" si="80"/>
        <v/>
      </c>
      <c r="M75" s="20" t="str">
        <f t="shared" ca="1" si="80"/>
        <v/>
      </c>
      <c r="N75" s="20" t="str">
        <f t="shared" ca="1" si="80"/>
        <v/>
      </c>
      <c r="O75" s="20" t="str">
        <f t="shared" ca="1" si="80"/>
        <v/>
      </c>
      <c r="P75" s="20">
        <f t="shared" ca="1" si="61"/>
        <v>0</v>
      </c>
      <c r="Q75" s="32" t="e">
        <f t="shared" ca="1" si="63"/>
        <v>#DIV/0!</v>
      </c>
      <c r="R75" s="79"/>
      <c r="S75" s="79"/>
      <c r="T75" s="114"/>
      <c r="U75" s="114"/>
      <c r="V75" s="114"/>
      <c r="W75" s="114"/>
    </row>
    <row r="76" spans="1:23" ht="16" hidden="1" outlineLevel="1" x14ac:dyDescent="0.2">
      <c r="A76" s="54"/>
      <c r="B76" s="113" t="str">
        <f ca="1">IFERROR(__xludf.DUMMYFUNCTION("""COMPUTED_VALUE"""),"РКО")</f>
        <v>РКО</v>
      </c>
      <c r="C76" s="109"/>
      <c r="D76" s="109" t="str">
        <f t="shared" ref="D76:O76" ca="1" si="81">IF($O$1,IFERROR(INDIRECT("'"&amp;D$2&amp;"'!"&amp;$D$1&amp;MATCH($B76,INDIRECT("'"&amp;D$2&amp;"'!B1:B"),0)),""),
IFERROR(INDIRECT("'"&amp;D$2&amp;"!"&amp;$D$1&amp;MATCH($B76,INDIRECT("'"&amp;D$2&amp;"'!B:B"),0)),""))</f>
        <v/>
      </c>
      <c r="E76" s="109" t="str">
        <f t="shared" ca="1" si="81"/>
        <v/>
      </c>
      <c r="F76" s="109" t="str">
        <f t="shared" ca="1" si="81"/>
        <v/>
      </c>
      <c r="G76" s="109" t="str">
        <f t="shared" ca="1" si="81"/>
        <v/>
      </c>
      <c r="H76" s="109" t="str">
        <f t="shared" ca="1" si="81"/>
        <v/>
      </c>
      <c r="I76" s="109" t="str">
        <f t="shared" ca="1" si="81"/>
        <v/>
      </c>
      <c r="J76" s="109" t="str">
        <f t="shared" ca="1" si="81"/>
        <v/>
      </c>
      <c r="K76" s="109" t="str">
        <f t="shared" ca="1" si="81"/>
        <v/>
      </c>
      <c r="L76" s="109" t="str">
        <f t="shared" ca="1" si="81"/>
        <v/>
      </c>
      <c r="M76" s="109" t="str">
        <f t="shared" ca="1" si="81"/>
        <v/>
      </c>
      <c r="N76" s="109" t="str">
        <f t="shared" ca="1" si="81"/>
        <v/>
      </c>
      <c r="O76" s="109" t="str">
        <f t="shared" ca="1" si="81"/>
        <v/>
      </c>
      <c r="P76" s="109">
        <f t="shared" ca="1" si="61"/>
        <v>0</v>
      </c>
      <c r="Q76" s="115" t="e">
        <f t="shared" ca="1" si="63"/>
        <v>#DIV/0!</v>
      </c>
      <c r="R76" s="79"/>
      <c r="S76" s="79"/>
      <c r="T76" s="34"/>
      <c r="U76" s="34"/>
      <c r="V76" s="34"/>
      <c r="W76" s="34"/>
    </row>
    <row r="77" spans="1:23" ht="16" hidden="1" outlineLevel="1" x14ac:dyDescent="0.2">
      <c r="A77" s="116"/>
      <c r="B77" s="117" t="str">
        <f ca="1">IFERROR(__xludf.DUMMYFUNCTION("""COMPUTED_VALUE"""),"Покупка ОС")</f>
        <v>Покупка ОС</v>
      </c>
      <c r="C77" s="20"/>
      <c r="D77" s="20" t="str">
        <f t="shared" ref="D77:O77" ca="1" si="82">IF($O$1,IFERROR(INDIRECT("'"&amp;D$2&amp;"'!"&amp;$D$1&amp;MATCH($B77,INDIRECT("'"&amp;D$2&amp;"'!B1:B"),0)),""),
IFERROR(INDIRECT("'"&amp;D$2&amp;"!"&amp;$D$1&amp;MATCH($B77,INDIRECT("'"&amp;D$2&amp;"'!B:B"),0)),""))</f>
        <v/>
      </c>
      <c r="E77" s="20" t="str">
        <f t="shared" ca="1" si="82"/>
        <v/>
      </c>
      <c r="F77" s="20" t="str">
        <f t="shared" ca="1" si="82"/>
        <v/>
      </c>
      <c r="G77" s="20" t="str">
        <f t="shared" ca="1" si="82"/>
        <v/>
      </c>
      <c r="H77" s="20" t="str">
        <f t="shared" ca="1" si="82"/>
        <v/>
      </c>
      <c r="I77" s="20" t="str">
        <f t="shared" ca="1" si="82"/>
        <v/>
      </c>
      <c r="J77" s="20" t="str">
        <f t="shared" ca="1" si="82"/>
        <v/>
      </c>
      <c r="K77" s="20" t="str">
        <f t="shared" ca="1" si="82"/>
        <v/>
      </c>
      <c r="L77" s="20" t="str">
        <f t="shared" ca="1" si="82"/>
        <v/>
      </c>
      <c r="M77" s="20" t="str">
        <f t="shared" ca="1" si="82"/>
        <v/>
      </c>
      <c r="N77" s="20" t="str">
        <f t="shared" ca="1" si="82"/>
        <v/>
      </c>
      <c r="O77" s="20" t="str">
        <f t="shared" ca="1" si="82"/>
        <v/>
      </c>
      <c r="P77" s="20">
        <f t="shared" ca="1" si="61"/>
        <v>0</v>
      </c>
      <c r="Q77" s="32" t="e">
        <f t="shared" ca="1" si="63"/>
        <v>#DIV/0!</v>
      </c>
      <c r="R77" s="79"/>
      <c r="S77" s="79"/>
      <c r="T77" s="34"/>
      <c r="U77" s="34"/>
      <c r="V77" s="34"/>
      <c r="W77" s="34"/>
    </row>
    <row r="78" spans="1:23" ht="16" hidden="1" x14ac:dyDescent="0.2">
      <c r="A78" s="54"/>
      <c r="B78" s="113"/>
      <c r="C78" s="109"/>
      <c r="D78" s="109" t="str">
        <f t="shared" ref="D78:O78" ca="1" si="83">IF($O$1,IFERROR(INDIRECT("'"&amp;D$2&amp;"'!"&amp;$D$1&amp;MATCH($B78,INDIRECT("'"&amp;D$2&amp;"'!B1:B"),0)),""),
IFERROR(INDIRECT("'"&amp;D$2&amp;"!"&amp;$D$1&amp;MATCH($B78,INDIRECT("'"&amp;D$2&amp;"'!B:B"),0)),""))</f>
        <v/>
      </c>
      <c r="E78" s="109" t="str">
        <f t="shared" ca="1" si="83"/>
        <v/>
      </c>
      <c r="F78" s="109" t="str">
        <f t="shared" ca="1" si="83"/>
        <v/>
      </c>
      <c r="G78" s="109" t="str">
        <f t="shared" ca="1" si="83"/>
        <v/>
      </c>
      <c r="H78" s="109" t="str">
        <f t="shared" ca="1" si="83"/>
        <v/>
      </c>
      <c r="I78" s="109" t="str">
        <f t="shared" ca="1" si="83"/>
        <v/>
      </c>
      <c r="J78" s="109" t="str">
        <f t="shared" ca="1" si="83"/>
        <v/>
      </c>
      <c r="K78" s="109" t="str">
        <f t="shared" ca="1" si="83"/>
        <v/>
      </c>
      <c r="L78" s="109" t="str">
        <f t="shared" ca="1" si="83"/>
        <v/>
      </c>
      <c r="M78" s="109" t="str">
        <f t="shared" ca="1" si="83"/>
        <v/>
      </c>
      <c r="N78" s="109" t="str">
        <f t="shared" ca="1" si="83"/>
        <v/>
      </c>
      <c r="O78" s="109" t="str">
        <f t="shared" ca="1" si="83"/>
        <v/>
      </c>
      <c r="P78" s="109">
        <f t="shared" ca="1" si="61"/>
        <v>0</v>
      </c>
      <c r="Q78" s="115"/>
      <c r="R78" s="79"/>
      <c r="S78" s="79"/>
      <c r="T78" s="34"/>
      <c r="U78" s="34"/>
      <c r="V78" s="34"/>
      <c r="W78" s="34"/>
    </row>
    <row r="79" spans="1:23" ht="16" hidden="1" x14ac:dyDescent="0.2">
      <c r="A79" s="54"/>
      <c r="B79" s="55"/>
      <c r="C79" s="20"/>
      <c r="D79" s="20" t="str">
        <f t="shared" ref="D79:O79" ca="1" si="84">IF($O$1,IFERROR(INDIRECT("'"&amp;D$2&amp;"'!"&amp;$D$1&amp;MATCH($B79,INDIRECT("'"&amp;D$2&amp;"'!B1:B"),0)),""),
IFERROR(INDIRECT("'"&amp;D$2&amp;"!"&amp;$D$1&amp;MATCH($B79,INDIRECT("'"&amp;D$2&amp;"'!B:B"),0)),""))</f>
        <v/>
      </c>
      <c r="E79" s="20" t="str">
        <f t="shared" ca="1" si="84"/>
        <v/>
      </c>
      <c r="F79" s="20" t="str">
        <f t="shared" ca="1" si="84"/>
        <v/>
      </c>
      <c r="G79" s="20" t="str">
        <f t="shared" ca="1" si="84"/>
        <v/>
      </c>
      <c r="H79" s="20" t="str">
        <f t="shared" ca="1" si="84"/>
        <v/>
      </c>
      <c r="I79" s="20" t="str">
        <f t="shared" ca="1" si="84"/>
        <v/>
      </c>
      <c r="J79" s="20" t="str">
        <f t="shared" ca="1" si="84"/>
        <v/>
      </c>
      <c r="K79" s="20" t="str">
        <f t="shared" ca="1" si="84"/>
        <v/>
      </c>
      <c r="L79" s="20" t="str">
        <f t="shared" ca="1" si="84"/>
        <v/>
      </c>
      <c r="M79" s="20" t="str">
        <f t="shared" ca="1" si="84"/>
        <v/>
      </c>
      <c r="N79" s="20" t="str">
        <f t="shared" ca="1" si="84"/>
        <v/>
      </c>
      <c r="O79" s="20" t="str">
        <f t="shared" ca="1" si="84"/>
        <v/>
      </c>
      <c r="P79" s="20">
        <f t="shared" ca="1" si="61"/>
        <v>0</v>
      </c>
      <c r="Q79" s="32"/>
      <c r="R79" s="79"/>
      <c r="S79" s="79"/>
      <c r="T79" s="34"/>
      <c r="U79" s="34"/>
      <c r="V79" s="34"/>
      <c r="W79" s="34"/>
    </row>
    <row r="80" spans="1:23" ht="14" hidden="1" x14ac:dyDescent="0.15">
      <c r="A80" s="35"/>
      <c r="B80" s="36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118"/>
      <c r="R80" s="83"/>
      <c r="S80" s="83"/>
      <c r="T80" s="47"/>
      <c r="U80" s="47"/>
      <c r="V80" s="47"/>
      <c r="W80" s="47"/>
    </row>
    <row r="81" spans="1:23" ht="15" hidden="1" x14ac:dyDescent="0.2">
      <c r="A81" s="54"/>
      <c r="B81" s="55" t="str">
        <f ca="1">IFERROR(__xludf.DUMMYFUNCTION("iferror(filter('Статьи'!$A$1:$A167,'Статьи'!$B$1:$B167=#REF!))"),"")</f>
        <v/>
      </c>
      <c r="C81" s="20"/>
      <c r="D81" s="20" t="str">
        <f t="shared" ref="D81:O81" ca="1" si="85">IF($O$1,IFERROR(INDIRECT("'"&amp;D$2&amp;"'!"&amp;$D$1&amp;MATCH($B81,INDIRECT("'"&amp;D$2&amp;"'!B1:B"),0)),""),
IFERROR(INDIRECT("'"&amp;D$2&amp;"!"&amp;$D$1&amp;MATCH($B81,INDIRECT("'"&amp;D$2&amp;"'!B:B"),0)),""))</f>
        <v/>
      </c>
      <c r="E81" s="20" t="str">
        <f t="shared" ca="1" si="85"/>
        <v/>
      </c>
      <c r="F81" s="20" t="str">
        <f t="shared" ca="1" si="85"/>
        <v/>
      </c>
      <c r="G81" s="20" t="str">
        <f t="shared" ca="1" si="85"/>
        <v/>
      </c>
      <c r="H81" s="20" t="str">
        <f t="shared" ca="1" si="85"/>
        <v/>
      </c>
      <c r="I81" s="20" t="str">
        <f t="shared" ca="1" si="85"/>
        <v/>
      </c>
      <c r="J81" s="20" t="str">
        <f t="shared" ca="1" si="85"/>
        <v/>
      </c>
      <c r="K81" s="20" t="str">
        <f t="shared" ca="1" si="85"/>
        <v/>
      </c>
      <c r="L81" s="20" t="str">
        <f t="shared" ca="1" si="85"/>
        <v/>
      </c>
      <c r="M81" s="20" t="str">
        <f t="shared" ca="1" si="85"/>
        <v/>
      </c>
      <c r="N81" s="20" t="str">
        <f t="shared" ca="1" si="85"/>
        <v/>
      </c>
      <c r="O81" s="20" t="str">
        <f t="shared" ca="1" si="85"/>
        <v/>
      </c>
      <c r="P81" s="20">
        <f t="shared" ref="P81:P96" ca="1" si="86">SUM(D81:O81)</f>
        <v>0</v>
      </c>
      <c r="Q81" s="32" t="e">
        <f t="shared" ref="Q81:Q83" ca="1" si="87">P81/$P$4</f>
        <v>#DIV/0!</v>
      </c>
      <c r="R81" s="119"/>
      <c r="S81" s="119">
        <f t="shared" ref="S81:S83" ca="1" si="88">$P$4*T81</f>
        <v>0</v>
      </c>
      <c r="T81" s="73">
        <v>0.16300000000000001</v>
      </c>
      <c r="U81" s="53"/>
      <c r="V81" s="53"/>
      <c r="W81" s="53"/>
    </row>
    <row r="82" spans="1:23" ht="14" hidden="1" x14ac:dyDescent="0.2">
      <c r="A82" s="54"/>
      <c r="B82" s="55"/>
      <c r="C82" s="20"/>
      <c r="D82" s="20" t="str">
        <f t="shared" ref="D82:O82" ca="1" si="89">IF($O$1,IFERROR(INDIRECT("'"&amp;D$2&amp;"'!"&amp;$D$1&amp;MATCH($B82,INDIRECT("'"&amp;D$2&amp;"'!B1:B"),0)),""),
IFERROR(INDIRECT("'"&amp;D$2&amp;"!"&amp;$D$1&amp;MATCH($B82,INDIRECT("'"&amp;D$2&amp;"'!B:B"),0)),""))</f>
        <v/>
      </c>
      <c r="E82" s="20" t="str">
        <f t="shared" ca="1" si="89"/>
        <v/>
      </c>
      <c r="F82" s="20" t="str">
        <f t="shared" ca="1" si="89"/>
        <v/>
      </c>
      <c r="G82" s="20" t="str">
        <f t="shared" ca="1" si="89"/>
        <v/>
      </c>
      <c r="H82" s="20" t="str">
        <f t="shared" ca="1" si="89"/>
        <v/>
      </c>
      <c r="I82" s="20" t="str">
        <f t="shared" ca="1" si="89"/>
        <v/>
      </c>
      <c r="J82" s="20" t="str">
        <f t="shared" ca="1" si="89"/>
        <v/>
      </c>
      <c r="K82" s="20" t="str">
        <f t="shared" ca="1" si="89"/>
        <v/>
      </c>
      <c r="L82" s="20" t="str">
        <f t="shared" ca="1" si="89"/>
        <v/>
      </c>
      <c r="M82" s="20" t="str">
        <f t="shared" ca="1" si="89"/>
        <v/>
      </c>
      <c r="N82" s="20" t="str">
        <f t="shared" ca="1" si="89"/>
        <v/>
      </c>
      <c r="O82" s="20" t="str">
        <f t="shared" ca="1" si="89"/>
        <v/>
      </c>
      <c r="P82" s="20">
        <f t="shared" ca="1" si="86"/>
        <v>0</v>
      </c>
      <c r="Q82" s="32" t="e">
        <f t="shared" ca="1" si="87"/>
        <v>#DIV/0!</v>
      </c>
      <c r="R82" s="119"/>
      <c r="S82" s="119">
        <f t="shared" ca="1" si="88"/>
        <v>0</v>
      </c>
      <c r="T82" s="73">
        <v>1.88323019561214E-2</v>
      </c>
      <c r="U82" s="53"/>
      <c r="V82" s="53"/>
      <c r="W82" s="53"/>
    </row>
    <row r="83" spans="1:23" ht="14" hidden="1" x14ac:dyDescent="0.2">
      <c r="A83" s="54"/>
      <c r="B83" s="55"/>
      <c r="C83" s="20"/>
      <c r="D83" s="20" t="str">
        <f t="shared" ref="D83:O83" ca="1" si="90">IF($O$1,IFERROR(INDIRECT("'"&amp;D$2&amp;"'!"&amp;$D$1&amp;MATCH($B83,INDIRECT("'"&amp;D$2&amp;"'!B1:B"),0)),""),
IFERROR(INDIRECT("'"&amp;D$2&amp;"!"&amp;$D$1&amp;MATCH($B83,INDIRECT("'"&amp;D$2&amp;"'!B:B"),0)),""))</f>
        <v/>
      </c>
      <c r="E83" s="20" t="str">
        <f t="shared" ca="1" si="90"/>
        <v/>
      </c>
      <c r="F83" s="20" t="str">
        <f t="shared" ca="1" si="90"/>
        <v/>
      </c>
      <c r="G83" s="20" t="str">
        <f t="shared" ca="1" si="90"/>
        <v/>
      </c>
      <c r="H83" s="20" t="str">
        <f t="shared" ca="1" si="90"/>
        <v/>
      </c>
      <c r="I83" s="20" t="str">
        <f t="shared" ca="1" si="90"/>
        <v/>
      </c>
      <c r="J83" s="20" t="str">
        <f t="shared" ca="1" si="90"/>
        <v/>
      </c>
      <c r="K83" s="20" t="str">
        <f t="shared" ca="1" si="90"/>
        <v/>
      </c>
      <c r="L83" s="20" t="str">
        <f t="shared" ca="1" si="90"/>
        <v/>
      </c>
      <c r="M83" s="20" t="str">
        <f t="shared" ca="1" si="90"/>
        <v/>
      </c>
      <c r="N83" s="20" t="str">
        <f t="shared" ca="1" si="90"/>
        <v/>
      </c>
      <c r="O83" s="20" t="str">
        <f t="shared" ca="1" si="90"/>
        <v/>
      </c>
      <c r="P83" s="20">
        <f t="shared" ca="1" si="86"/>
        <v>0</v>
      </c>
      <c r="Q83" s="32" t="e">
        <f t="shared" ca="1" si="87"/>
        <v>#DIV/0!</v>
      </c>
      <c r="R83" s="119"/>
      <c r="S83" s="119">
        <f t="shared" ca="1" si="88"/>
        <v>0</v>
      </c>
      <c r="T83" s="73">
        <v>1.6991550637102E-3</v>
      </c>
      <c r="U83" s="53"/>
      <c r="V83" s="53"/>
      <c r="W83" s="53"/>
    </row>
    <row r="84" spans="1:23" ht="16" hidden="1" x14ac:dyDescent="0.2">
      <c r="A84" s="54"/>
      <c r="B84" s="55"/>
      <c r="C84" s="20"/>
      <c r="D84" s="20" t="str">
        <f t="shared" ref="D84:O84" ca="1" si="91">IF($O$1,IFERROR(INDIRECT("'"&amp;D$2&amp;"'!"&amp;$D$1&amp;MATCH($B84,INDIRECT("'"&amp;D$2&amp;"'!B1:B"),0)),""),
IFERROR(INDIRECT("'"&amp;D$2&amp;"!"&amp;$D$1&amp;MATCH($B84,INDIRECT("'"&amp;D$2&amp;"'!B:B"),0)),""))</f>
        <v/>
      </c>
      <c r="E84" s="20" t="str">
        <f t="shared" ca="1" si="91"/>
        <v/>
      </c>
      <c r="F84" s="20" t="str">
        <f t="shared" ca="1" si="91"/>
        <v/>
      </c>
      <c r="G84" s="20" t="str">
        <f t="shared" ca="1" si="91"/>
        <v/>
      </c>
      <c r="H84" s="20" t="str">
        <f t="shared" ca="1" si="91"/>
        <v/>
      </c>
      <c r="I84" s="20" t="str">
        <f t="shared" ca="1" si="91"/>
        <v/>
      </c>
      <c r="J84" s="20" t="str">
        <f t="shared" ca="1" si="91"/>
        <v/>
      </c>
      <c r="K84" s="20" t="str">
        <f t="shared" ca="1" si="91"/>
        <v/>
      </c>
      <c r="L84" s="20" t="str">
        <f t="shared" ca="1" si="91"/>
        <v/>
      </c>
      <c r="M84" s="20" t="str">
        <f t="shared" ca="1" si="91"/>
        <v/>
      </c>
      <c r="N84" s="20" t="str">
        <f t="shared" ca="1" si="91"/>
        <v/>
      </c>
      <c r="O84" s="20" t="str">
        <f t="shared" ca="1" si="91"/>
        <v/>
      </c>
      <c r="P84" s="20">
        <f t="shared" ca="1" si="86"/>
        <v>0</v>
      </c>
      <c r="Q84" s="32"/>
      <c r="R84" s="79"/>
      <c r="S84" s="79"/>
      <c r="T84" s="34"/>
      <c r="U84" s="34"/>
      <c r="V84" s="34"/>
      <c r="W84" s="34"/>
    </row>
    <row r="85" spans="1:23" ht="16" hidden="1" x14ac:dyDescent="0.2">
      <c r="A85" s="54"/>
      <c r="B85" s="55"/>
      <c r="C85" s="20"/>
      <c r="D85" s="20" t="str">
        <f t="shared" ref="D85:O85" ca="1" si="92">IF($O$1,IFERROR(INDIRECT("'"&amp;D$2&amp;"'!"&amp;$D$1&amp;MATCH($B85,INDIRECT("'"&amp;D$2&amp;"'!B1:B"),0)),""),
IFERROR(INDIRECT("'"&amp;D$2&amp;"!"&amp;$D$1&amp;MATCH($B85,INDIRECT("'"&amp;D$2&amp;"'!B:B"),0)),""))</f>
        <v/>
      </c>
      <c r="E85" s="20" t="str">
        <f t="shared" ca="1" si="92"/>
        <v/>
      </c>
      <c r="F85" s="20" t="str">
        <f t="shared" ca="1" si="92"/>
        <v/>
      </c>
      <c r="G85" s="20" t="str">
        <f t="shared" ca="1" si="92"/>
        <v/>
      </c>
      <c r="H85" s="20" t="str">
        <f t="shared" ca="1" si="92"/>
        <v/>
      </c>
      <c r="I85" s="20" t="str">
        <f t="shared" ca="1" si="92"/>
        <v/>
      </c>
      <c r="J85" s="20" t="str">
        <f t="shared" ca="1" si="92"/>
        <v/>
      </c>
      <c r="K85" s="20" t="str">
        <f t="shared" ca="1" si="92"/>
        <v/>
      </c>
      <c r="L85" s="20" t="str">
        <f t="shared" ca="1" si="92"/>
        <v/>
      </c>
      <c r="M85" s="20" t="str">
        <f t="shared" ca="1" si="92"/>
        <v/>
      </c>
      <c r="N85" s="20" t="str">
        <f t="shared" ca="1" si="92"/>
        <v/>
      </c>
      <c r="O85" s="20" t="str">
        <f t="shared" ca="1" si="92"/>
        <v/>
      </c>
      <c r="P85" s="20">
        <f t="shared" ca="1" si="86"/>
        <v>0</v>
      </c>
      <c r="Q85" s="32"/>
      <c r="R85" s="79"/>
      <c r="S85" s="79"/>
      <c r="T85" s="34"/>
      <c r="U85" s="34"/>
      <c r="V85" s="34"/>
      <c r="W85" s="34"/>
    </row>
    <row r="86" spans="1:23" ht="16" hidden="1" x14ac:dyDescent="0.2">
      <c r="A86" s="54"/>
      <c r="B86" s="55"/>
      <c r="C86" s="20"/>
      <c r="D86" s="20" t="str">
        <f t="shared" ref="D86:O86" ca="1" si="93">IF($O$1,IFERROR(INDIRECT("'"&amp;D$2&amp;"'!"&amp;$D$1&amp;MATCH($B86,INDIRECT("'"&amp;D$2&amp;"'!B1:B"),0)),""),
IFERROR(INDIRECT("'"&amp;D$2&amp;"!"&amp;$D$1&amp;MATCH($B86,INDIRECT("'"&amp;D$2&amp;"'!B:B"),0)),""))</f>
        <v/>
      </c>
      <c r="E86" s="20" t="str">
        <f t="shared" ca="1" si="93"/>
        <v/>
      </c>
      <c r="F86" s="20" t="str">
        <f t="shared" ca="1" si="93"/>
        <v/>
      </c>
      <c r="G86" s="20" t="str">
        <f t="shared" ca="1" si="93"/>
        <v/>
      </c>
      <c r="H86" s="20" t="str">
        <f t="shared" ca="1" si="93"/>
        <v/>
      </c>
      <c r="I86" s="20" t="str">
        <f t="shared" ca="1" si="93"/>
        <v/>
      </c>
      <c r="J86" s="20" t="str">
        <f t="shared" ca="1" si="93"/>
        <v/>
      </c>
      <c r="K86" s="20" t="str">
        <f t="shared" ca="1" si="93"/>
        <v/>
      </c>
      <c r="L86" s="20" t="str">
        <f t="shared" ca="1" si="93"/>
        <v/>
      </c>
      <c r="M86" s="20" t="str">
        <f t="shared" ca="1" si="93"/>
        <v/>
      </c>
      <c r="N86" s="20" t="str">
        <f t="shared" ca="1" si="93"/>
        <v/>
      </c>
      <c r="O86" s="20" t="str">
        <f t="shared" ca="1" si="93"/>
        <v/>
      </c>
      <c r="P86" s="20">
        <f t="shared" ca="1" si="86"/>
        <v>0</v>
      </c>
      <c r="Q86" s="32"/>
      <c r="R86" s="79"/>
      <c r="S86" s="79"/>
      <c r="T86" s="34"/>
      <c r="U86" s="34"/>
      <c r="V86" s="34"/>
      <c r="W86" s="34"/>
    </row>
    <row r="87" spans="1:23" ht="16" hidden="1" x14ac:dyDescent="0.2">
      <c r="A87" s="54"/>
      <c r="B87" s="55"/>
      <c r="C87" s="20"/>
      <c r="D87" s="20" t="str">
        <f t="shared" ref="D87:O87" ca="1" si="94">IF($O$1,IFERROR(INDIRECT("'"&amp;D$2&amp;"'!"&amp;$D$1&amp;MATCH($B87,INDIRECT("'"&amp;D$2&amp;"'!B1:B"),0)),""),
IFERROR(INDIRECT("'"&amp;D$2&amp;"!"&amp;$D$1&amp;MATCH($B87,INDIRECT("'"&amp;D$2&amp;"'!B:B"),0)),""))</f>
        <v/>
      </c>
      <c r="E87" s="20" t="str">
        <f t="shared" ca="1" si="94"/>
        <v/>
      </c>
      <c r="F87" s="20" t="str">
        <f t="shared" ca="1" si="94"/>
        <v/>
      </c>
      <c r="G87" s="20" t="str">
        <f t="shared" ca="1" si="94"/>
        <v/>
      </c>
      <c r="H87" s="20" t="str">
        <f t="shared" ca="1" si="94"/>
        <v/>
      </c>
      <c r="I87" s="20" t="str">
        <f t="shared" ca="1" si="94"/>
        <v/>
      </c>
      <c r="J87" s="20" t="str">
        <f t="shared" ca="1" si="94"/>
        <v/>
      </c>
      <c r="K87" s="20" t="str">
        <f t="shared" ca="1" si="94"/>
        <v/>
      </c>
      <c r="L87" s="20" t="str">
        <f t="shared" ca="1" si="94"/>
        <v/>
      </c>
      <c r="M87" s="20" t="str">
        <f t="shared" ca="1" si="94"/>
        <v/>
      </c>
      <c r="N87" s="20" t="str">
        <f t="shared" ca="1" si="94"/>
        <v/>
      </c>
      <c r="O87" s="20" t="str">
        <f t="shared" ca="1" si="94"/>
        <v/>
      </c>
      <c r="P87" s="20">
        <f t="shared" ca="1" si="86"/>
        <v>0</v>
      </c>
      <c r="Q87" s="32"/>
      <c r="R87" s="79"/>
      <c r="S87" s="79"/>
      <c r="T87" s="34"/>
      <c r="U87" s="34"/>
      <c r="V87" s="34"/>
      <c r="W87" s="34"/>
    </row>
    <row r="88" spans="1:23" ht="16" hidden="1" x14ac:dyDescent="0.2">
      <c r="A88" s="54"/>
      <c r="B88" s="55"/>
      <c r="C88" s="20"/>
      <c r="D88" s="20" t="str">
        <f t="shared" ref="D88:O88" ca="1" si="95">IF($O$1,IFERROR(INDIRECT("'"&amp;D$2&amp;"'!"&amp;$D$1&amp;MATCH($B88,INDIRECT("'"&amp;D$2&amp;"'!B1:B"),0)),""),
IFERROR(INDIRECT("'"&amp;D$2&amp;"!"&amp;$D$1&amp;MATCH($B88,INDIRECT("'"&amp;D$2&amp;"'!B:B"),0)),""))</f>
        <v/>
      </c>
      <c r="E88" s="20" t="str">
        <f t="shared" ca="1" si="95"/>
        <v/>
      </c>
      <c r="F88" s="20" t="str">
        <f t="shared" ca="1" si="95"/>
        <v/>
      </c>
      <c r="G88" s="20" t="str">
        <f t="shared" ca="1" si="95"/>
        <v/>
      </c>
      <c r="H88" s="20" t="str">
        <f t="shared" ca="1" si="95"/>
        <v/>
      </c>
      <c r="I88" s="20" t="str">
        <f t="shared" ca="1" si="95"/>
        <v/>
      </c>
      <c r="J88" s="20" t="str">
        <f t="shared" ca="1" si="95"/>
        <v/>
      </c>
      <c r="K88" s="20" t="str">
        <f t="shared" ca="1" si="95"/>
        <v/>
      </c>
      <c r="L88" s="20" t="str">
        <f t="shared" ca="1" si="95"/>
        <v/>
      </c>
      <c r="M88" s="20" t="str">
        <f t="shared" ca="1" si="95"/>
        <v/>
      </c>
      <c r="N88" s="20" t="str">
        <f t="shared" ca="1" si="95"/>
        <v/>
      </c>
      <c r="O88" s="20" t="str">
        <f t="shared" ca="1" si="95"/>
        <v/>
      </c>
      <c r="P88" s="20">
        <f t="shared" ca="1" si="86"/>
        <v>0</v>
      </c>
      <c r="Q88" s="32"/>
      <c r="R88" s="79"/>
      <c r="S88" s="79"/>
      <c r="T88" s="34"/>
      <c r="U88" s="34"/>
      <c r="V88" s="34"/>
      <c r="W88" s="34"/>
    </row>
    <row r="89" spans="1:23" ht="16" hidden="1" x14ac:dyDescent="0.2">
      <c r="A89" s="54"/>
      <c r="B89" s="55"/>
      <c r="C89" s="20"/>
      <c r="D89" s="20" t="str">
        <f t="shared" ref="D89:O89" ca="1" si="96">IF($O$1,IFERROR(INDIRECT("'"&amp;D$2&amp;"'!"&amp;$D$1&amp;MATCH($B89,INDIRECT("'"&amp;D$2&amp;"'!B1:B"),0)),""),
IFERROR(INDIRECT("'"&amp;D$2&amp;"!"&amp;$D$1&amp;MATCH($B89,INDIRECT("'"&amp;D$2&amp;"'!B:B"),0)),""))</f>
        <v/>
      </c>
      <c r="E89" s="20" t="str">
        <f t="shared" ca="1" si="96"/>
        <v/>
      </c>
      <c r="F89" s="20" t="str">
        <f t="shared" ca="1" si="96"/>
        <v/>
      </c>
      <c r="G89" s="20" t="str">
        <f t="shared" ca="1" si="96"/>
        <v/>
      </c>
      <c r="H89" s="20" t="str">
        <f t="shared" ca="1" si="96"/>
        <v/>
      </c>
      <c r="I89" s="20" t="str">
        <f t="shared" ca="1" si="96"/>
        <v/>
      </c>
      <c r="J89" s="20" t="str">
        <f t="shared" ca="1" si="96"/>
        <v/>
      </c>
      <c r="K89" s="20" t="str">
        <f t="shared" ca="1" si="96"/>
        <v/>
      </c>
      <c r="L89" s="20" t="str">
        <f t="shared" ca="1" si="96"/>
        <v/>
      </c>
      <c r="M89" s="20" t="str">
        <f t="shared" ca="1" si="96"/>
        <v/>
      </c>
      <c r="N89" s="20" t="str">
        <f t="shared" ca="1" si="96"/>
        <v/>
      </c>
      <c r="O89" s="20" t="str">
        <f t="shared" ca="1" si="96"/>
        <v/>
      </c>
      <c r="P89" s="20">
        <f t="shared" ca="1" si="86"/>
        <v>0</v>
      </c>
      <c r="Q89" s="32"/>
      <c r="R89" s="79"/>
      <c r="S89" s="79"/>
      <c r="T89" s="34"/>
      <c r="U89" s="34"/>
      <c r="V89" s="34"/>
      <c r="W89" s="34"/>
    </row>
    <row r="90" spans="1:23" ht="16" hidden="1" x14ac:dyDescent="0.2">
      <c r="A90" s="54"/>
      <c r="B90" s="55"/>
      <c r="C90" s="20"/>
      <c r="D90" s="20" t="str">
        <f t="shared" ref="D90:O90" ca="1" si="97">IF($O$1,IFERROR(INDIRECT("'"&amp;D$2&amp;"'!"&amp;$D$1&amp;MATCH($B90,INDIRECT("'"&amp;D$2&amp;"'!B1:B"),0)),""),
IFERROR(INDIRECT("'"&amp;D$2&amp;"!"&amp;$D$1&amp;MATCH($B90,INDIRECT("'"&amp;D$2&amp;"'!B:B"),0)),""))</f>
        <v/>
      </c>
      <c r="E90" s="20" t="str">
        <f t="shared" ca="1" si="97"/>
        <v/>
      </c>
      <c r="F90" s="20" t="str">
        <f t="shared" ca="1" si="97"/>
        <v/>
      </c>
      <c r="G90" s="20" t="str">
        <f t="shared" ca="1" si="97"/>
        <v/>
      </c>
      <c r="H90" s="20" t="str">
        <f t="shared" ca="1" si="97"/>
        <v/>
      </c>
      <c r="I90" s="20" t="str">
        <f t="shared" ca="1" si="97"/>
        <v/>
      </c>
      <c r="J90" s="20" t="str">
        <f t="shared" ca="1" si="97"/>
        <v/>
      </c>
      <c r="K90" s="20" t="str">
        <f t="shared" ca="1" si="97"/>
        <v/>
      </c>
      <c r="L90" s="20" t="str">
        <f t="shared" ca="1" si="97"/>
        <v/>
      </c>
      <c r="M90" s="20" t="str">
        <f t="shared" ca="1" si="97"/>
        <v/>
      </c>
      <c r="N90" s="20" t="str">
        <f t="shared" ca="1" si="97"/>
        <v/>
      </c>
      <c r="O90" s="20" t="str">
        <f t="shared" ca="1" si="97"/>
        <v/>
      </c>
      <c r="P90" s="20">
        <f t="shared" ca="1" si="86"/>
        <v>0</v>
      </c>
      <c r="Q90" s="32"/>
      <c r="R90" s="79"/>
      <c r="S90" s="79"/>
      <c r="T90" s="34"/>
      <c r="U90" s="34"/>
      <c r="V90" s="34"/>
      <c r="W90" s="34"/>
    </row>
    <row r="91" spans="1:23" ht="16" hidden="1" x14ac:dyDescent="0.2">
      <c r="A91" s="54"/>
      <c r="B91" s="55"/>
      <c r="C91" s="20"/>
      <c r="D91" s="20" t="str">
        <f t="shared" ref="D91:O91" ca="1" si="98">IF($O$1,IFERROR(INDIRECT("'"&amp;D$2&amp;"'!"&amp;$D$1&amp;MATCH($B91,INDIRECT("'"&amp;D$2&amp;"'!B1:B"),0)),""),
IFERROR(INDIRECT("'"&amp;D$2&amp;"!"&amp;$D$1&amp;MATCH($B91,INDIRECT("'"&amp;D$2&amp;"'!B:B"),0)),""))</f>
        <v/>
      </c>
      <c r="E91" s="20" t="str">
        <f t="shared" ca="1" si="98"/>
        <v/>
      </c>
      <c r="F91" s="20" t="str">
        <f t="shared" ca="1" si="98"/>
        <v/>
      </c>
      <c r="G91" s="20" t="str">
        <f t="shared" ca="1" si="98"/>
        <v/>
      </c>
      <c r="H91" s="20" t="str">
        <f t="shared" ca="1" si="98"/>
        <v/>
      </c>
      <c r="I91" s="20" t="str">
        <f t="shared" ca="1" si="98"/>
        <v/>
      </c>
      <c r="J91" s="20" t="str">
        <f t="shared" ca="1" si="98"/>
        <v/>
      </c>
      <c r="K91" s="20" t="str">
        <f t="shared" ca="1" si="98"/>
        <v/>
      </c>
      <c r="L91" s="20" t="str">
        <f t="shared" ca="1" si="98"/>
        <v/>
      </c>
      <c r="M91" s="20" t="str">
        <f t="shared" ca="1" si="98"/>
        <v/>
      </c>
      <c r="N91" s="20" t="str">
        <f t="shared" ca="1" si="98"/>
        <v/>
      </c>
      <c r="O91" s="20" t="str">
        <f t="shared" ca="1" si="98"/>
        <v/>
      </c>
      <c r="P91" s="20">
        <f t="shared" ca="1" si="86"/>
        <v>0</v>
      </c>
      <c r="Q91" s="32"/>
      <c r="R91" s="79"/>
      <c r="S91" s="79"/>
      <c r="T91" s="34"/>
      <c r="U91" s="34"/>
      <c r="V91" s="34"/>
      <c r="W91" s="34"/>
    </row>
    <row r="92" spans="1:23" ht="16" hidden="1" x14ac:dyDescent="0.2">
      <c r="A92" s="54"/>
      <c r="B92" s="55"/>
      <c r="C92" s="20"/>
      <c r="D92" s="20" t="str">
        <f t="shared" ref="D92:O92" ca="1" si="99">IF($O$1,IFERROR(INDIRECT("'"&amp;D$2&amp;"'!"&amp;$D$1&amp;MATCH($B92,INDIRECT("'"&amp;D$2&amp;"'!B1:B"),0)),""),
IFERROR(INDIRECT("'"&amp;D$2&amp;"!"&amp;$D$1&amp;MATCH($B92,INDIRECT("'"&amp;D$2&amp;"'!B:B"),0)),""))</f>
        <v/>
      </c>
      <c r="E92" s="20" t="str">
        <f t="shared" ca="1" si="99"/>
        <v/>
      </c>
      <c r="F92" s="20" t="str">
        <f t="shared" ca="1" si="99"/>
        <v/>
      </c>
      <c r="G92" s="20" t="str">
        <f t="shared" ca="1" si="99"/>
        <v/>
      </c>
      <c r="H92" s="20" t="str">
        <f t="shared" ca="1" si="99"/>
        <v/>
      </c>
      <c r="I92" s="20" t="str">
        <f t="shared" ca="1" si="99"/>
        <v/>
      </c>
      <c r="J92" s="20" t="str">
        <f t="shared" ca="1" si="99"/>
        <v/>
      </c>
      <c r="K92" s="20" t="str">
        <f t="shared" ca="1" si="99"/>
        <v/>
      </c>
      <c r="L92" s="20" t="str">
        <f t="shared" ca="1" si="99"/>
        <v/>
      </c>
      <c r="M92" s="20" t="str">
        <f t="shared" ca="1" si="99"/>
        <v/>
      </c>
      <c r="N92" s="20" t="str">
        <f t="shared" ca="1" si="99"/>
        <v/>
      </c>
      <c r="O92" s="20" t="str">
        <f t="shared" ca="1" si="99"/>
        <v/>
      </c>
      <c r="P92" s="20">
        <f t="shared" ca="1" si="86"/>
        <v>0</v>
      </c>
      <c r="Q92" s="32"/>
      <c r="R92" s="79"/>
      <c r="S92" s="79"/>
      <c r="T92" s="34"/>
      <c r="U92" s="34"/>
      <c r="V92" s="34"/>
      <c r="W92" s="34"/>
    </row>
    <row r="93" spans="1:23" ht="16" hidden="1" x14ac:dyDescent="0.2">
      <c r="A93" s="54"/>
      <c r="B93" s="55"/>
      <c r="C93" s="20"/>
      <c r="D93" s="20" t="str">
        <f t="shared" ref="D93:O93" ca="1" si="100">IF($O$1,IFERROR(INDIRECT("'"&amp;D$2&amp;"'!"&amp;$D$1&amp;MATCH($B93,INDIRECT("'"&amp;D$2&amp;"'!B1:B"),0)),""),
IFERROR(INDIRECT("'"&amp;D$2&amp;"!"&amp;$D$1&amp;MATCH($B93,INDIRECT("'"&amp;D$2&amp;"'!B:B"),0)),""))</f>
        <v/>
      </c>
      <c r="E93" s="20" t="str">
        <f t="shared" ca="1" si="100"/>
        <v/>
      </c>
      <c r="F93" s="20" t="str">
        <f t="shared" ca="1" si="100"/>
        <v/>
      </c>
      <c r="G93" s="20" t="str">
        <f t="shared" ca="1" si="100"/>
        <v/>
      </c>
      <c r="H93" s="20" t="str">
        <f t="shared" ca="1" si="100"/>
        <v/>
      </c>
      <c r="I93" s="20" t="str">
        <f t="shared" ca="1" si="100"/>
        <v/>
      </c>
      <c r="J93" s="20" t="str">
        <f t="shared" ca="1" si="100"/>
        <v/>
      </c>
      <c r="K93" s="20" t="str">
        <f t="shared" ca="1" si="100"/>
        <v/>
      </c>
      <c r="L93" s="20" t="str">
        <f t="shared" ca="1" si="100"/>
        <v/>
      </c>
      <c r="M93" s="20" t="str">
        <f t="shared" ca="1" si="100"/>
        <v/>
      </c>
      <c r="N93" s="20" t="str">
        <f t="shared" ca="1" si="100"/>
        <v/>
      </c>
      <c r="O93" s="20" t="str">
        <f t="shared" ca="1" si="100"/>
        <v/>
      </c>
      <c r="P93" s="20">
        <f t="shared" ca="1" si="86"/>
        <v>0</v>
      </c>
      <c r="Q93" s="32"/>
      <c r="R93" s="79"/>
      <c r="S93" s="79"/>
      <c r="T93" s="34"/>
      <c r="U93" s="34"/>
      <c r="V93" s="34"/>
      <c r="W93" s="34"/>
    </row>
    <row r="94" spans="1:23" ht="16" hidden="1" x14ac:dyDescent="0.2">
      <c r="A94" s="54"/>
      <c r="B94" s="55"/>
      <c r="C94" s="20"/>
      <c r="D94" s="20" t="str">
        <f t="shared" ref="D94:O94" ca="1" si="101">IF($O$1,IFERROR(INDIRECT("'"&amp;D$2&amp;"'!"&amp;$D$1&amp;MATCH($B94,INDIRECT("'"&amp;D$2&amp;"'!B1:B"),0)),""),
IFERROR(INDIRECT("'"&amp;D$2&amp;"!"&amp;$D$1&amp;MATCH($B94,INDIRECT("'"&amp;D$2&amp;"'!B:B"),0)),""))</f>
        <v/>
      </c>
      <c r="E94" s="20" t="str">
        <f t="shared" ca="1" si="101"/>
        <v/>
      </c>
      <c r="F94" s="20" t="str">
        <f t="shared" ca="1" si="101"/>
        <v/>
      </c>
      <c r="G94" s="20" t="str">
        <f t="shared" ca="1" si="101"/>
        <v/>
      </c>
      <c r="H94" s="20" t="str">
        <f t="shared" ca="1" si="101"/>
        <v/>
      </c>
      <c r="I94" s="20" t="str">
        <f t="shared" ca="1" si="101"/>
        <v/>
      </c>
      <c r="J94" s="20" t="str">
        <f t="shared" ca="1" si="101"/>
        <v/>
      </c>
      <c r="K94" s="20" t="str">
        <f t="shared" ca="1" si="101"/>
        <v/>
      </c>
      <c r="L94" s="20" t="str">
        <f t="shared" ca="1" si="101"/>
        <v/>
      </c>
      <c r="M94" s="20" t="str">
        <f t="shared" ca="1" si="101"/>
        <v/>
      </c>
      <c r="N94" s="20" t="str">
        <f t="shared" ca="1" si="101"/>
        <v/>
      </c>
      <c r="O94" s="20" t="str">
        <f t="shared" ca="1" si="101"/>
        <v/>
      </c>
      <c r="P94" s="20">
        <f t="shared" ca="1" si="86"/>
        <v>0</v>
      </c>
      <c r="Q94" s="32"/>
      <c r="R94" s="79"/>
      <c r="S94" s="79"/>
      <c r="T94" s="34"/>
      <c r="U94" s="34"/>
      <c r="V94" s="34"/>
      <c r="W94" s="34"/>
    </row>
    <row r="95" spans="1:23" ht="16" hidden="1" x14ac:dyDescent="0.2">
      <c r="A95" s="54"/>
      <c r="B95" s="55"/>
      <c r="C95" s="20"/>
      <c r="D95" s="20" t="str">
        <f t="shared" ref="D95:O95" ca="1" si="102">IF($O$1,IFERROR(INDIRECT("'"&amp;D$2&amp;"'!"&amp;$D$1&amp;MATCH($B95,INDIRECT("'"&amp;D$2&amp;"'!B1:B"),0)),""),
IFERROR(INDIRECT("'"&amp;D$2&amp;"!"&amp;$D$1&amp;MATCH($B95,INDIRECT("'"&amp;D$2&amp;"'!B:B"),0)),""))</f>
        <v/>
      </c>
      <c r="E95" s="20" t="str">
        <f t="shared" ca="1" si="102"/>
        <v/>
      </c>
      <c r="F95" s="20" t="str">
        <f t="shared" ca="1" si="102"/>
        <v/>
      </c>
      <c r="G95" s="20" t="str">
        <f t="shared" ca="1" si="102"/>
        <v/>
      </c>
      <c r="H95" s="20" t="str">
        <f t="shared" ca="1" si="102"/>
        <v/>
      </c>
      <c r="I95" s="20" t="str">
        <f t="shared" ca="1" si="102"/>
        <v/>
      </c>
      <c r="J95" s="20" t="str">
        <f t="shared" ca="1" si="102"/>
        <v/>
      </c>
      <c r="K95" s="20" t="str">
        <f t="shared" ca="1" si="102"/>
        <v/>
      </c>
      <c r="L95" s="20" t="str">
        <f t="shared" ca="1" si="102"/>
        <v/>
      </c>
      <c r="M95" s="20" t="str">
        <f t="shared" ca="1" si="102"/>
        <v/>
      </c>
      <c r="N95" s="20" t="str">
        <f t="shared" ca="1" si="102"/>
        <v/>
      </c>
      <c r="O95" s="20" t="str">
        <f t="shared" ca="1" si="102"/>
        <v/>
      </c>
      <c r="P95" s="20">
        <f t="shared" ca="1" si="86"/>
        <v>0</v>
      </c>
      <c r="Q95" s="32"/>
      <c r="R95" s="79"/>
      <c r="S95" s="79"/>
      <c r="T95" s="34"/>
      <c r="U95" s="34"/>
      <c r="V95" s="34"/>
      <c r="W95" s="34"/>
    </row>
    <row r="96" spans="1:23" ht="16" hidden="1" x14ac:dyDescent="0.2">
      <c r="A96" s="54"/>
      <c r="B96" s="55"/>
      <c r="C96" s="20"/>
      <c r="D96" s="20" t="str">
        <f t="shared" ref="D96:O96" ca="1" si="103">IF($O$1,IFERROR(INDIRECT("'"&amp;D$2&amp;"'!"&amp;$D$1&amp;MATCH($B96,INDIRECT("'"&amp;D$2&amp;"'!B1:B"),0)),""),
IFERROR(INDIRECT("'"&amp;D$2&amp;"!"&amp;$D$1&amp;MATCH($B96,INDIRECT("'"&amp;D$2&amp;"'!B:B"),0)),""))</f>
        <v/>
      </c>
      <c r="E96" s="20" t="str">
        <f t="shared" ca="1" si="103"/>
        <v/>
      </c>
      <c r="F96" s="20" t="str">
        <f t="shared" ca="1" si="103"/>
        <v/>
      </c>
      <c r="G96" s="20" t="str">
        <f t="shared" ca="1" si="103"/>
        <v/>
      </c>
      <c r="H96" s="20" t="str">
        <f t="shared" ca="1" si="103"/>
        <v/>
      </c>
      <c r="I96" s="20" t="str">
        <f t="shared" ca="1" si="103"/>
        <v/>
      </c>
      <c r="J96" s="20" t="str">
        <f t="shared" ca="1" si="103"/>
        <v/>
      </c>
      <c r="K96" s="20" t="str">
        <f t="shared" ca="1" si="103"/>
        <v/>
      </c>
      <c r="L96" s="20" t="str">
        <f t="shared" ca="1" si="103"/>
        <v/>
      </c>
      <c r="M96" s="20" t="str">
        <f t="shared" ca="1" si="103"/>
        <v/>
      </c>
      <c r="N96" s="20" t="str">
        <f t="shared" ca="1" si="103"/>
        <v/>
      </c>
      <c r="O96" s="20" t="str">
        <f t="shared" ca="1" si="103"/>
        <v/>
      </c>
      <c r="P96" s="20">
        <f t="shared" ca="1" si="86"/>
        <v>0</v>
      </c>
      <c r="Q96" s="32"/>
      <c r="R96" s="79"/>
      <c r="S96" s="79"/>
      <c r="T96" s="34"/>
      <c r="U96" s="34"/>
      <c r="V96" s="34"/>
      <c r="W96" s="34"/>
    </row>
    <row r="97" spans="1:23" ht="16" hidden="1" x14ac:dyDescent="0.2">
      <c r="A97" s="84"/>
      <c r="B97" s="85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7"/>
      <c r="R97" s="88"/>
      <c r="S97" s="88"/>
      <c r="T97" s="89"/>
      <c r="U97" s="89"/>
      <c r="V97" s="89"/>
      <c r="W97" s="89"/>
    </row>
    <row r="98" spans="1:23" ht="16" x14ac:dyDescent="0.2">
      <c r="A98" s="60"/>
      <c r="B98" s="61" t="s">
        <v>39</v>
      </c>
      <c r="C98" s="90"/>
      <c r="D98" s="91" t="e">
        <f t="shared" ref="D98:O98" ca="1" si="104">D57-D60</f>
        <v>#VALUE!</v>
      </c>
      <c r="E98" s="91" t="e">
        <f t="shared" ca="1" si="104"/>
        <v>#VALUE!</v>
      </c>
      <c r="F98" s="91" t="e">
        <f t="shared" ca="1" si="104"/>
        <v>#VALUE!</v>
      </c>
      <c r="G98" s="91" t="e">
        <f t="shared" ca="1" si="104"/>
        <v>#VALUE!</v>
      </c>
      <c r="H98" s="91" t="e">
        <f t="shared" ca="1" si="104"/>
        <v>#VALUE!</v>
      </c>
      <c r="I98" s="91" t="e">
        <f t="shared" ca="1" si="104"/>
        <v>#VALUE!</v>
      </c>
      <c r="J98" s="91" t="e">
        <f t="shared" ca="1" si="104"/>
        <v>#VALUE!</v>
      </c>
      <c r="K98" s="91" t="e">
        <f t="shared" ca="1" si="104"/>
        <v>#VALUE!</v>
      </c>
      <c r="L98" s="91" t="e">
        <f t="shared" ca="1" si="104"/>
        <v>#VALUE!</v>
      </c>
      <c r="M98" s="91" t="e">
        <f t="shared" ca="1" si="104"/>
        <v>#VALUE!</v>
      </c>
      <c r="N98" s="91" t="e">
        <f t="shared" ca="1" si="104"/>
        <v>#VALUE!</v>
      </c>
      <c r="O98" s="91" t="e">
        <f t="shared" ca="1" si="104"/>
        <v>#VALUE!</v>
      </c>
      <c r="P98" s="91" t="e">
        <f ca="1">SUM(D98:O98)</f>
        <v>#VALUE!</v>
      </c>
      <c r="Q98" s="92" t="e">
        <f ca="1">P98/$P$4</f>
        <v>#VALUE!</v>
      </c>
      <c r="R98" s="88"/>
      <c r="S98" s="88"/>
      <c r="T98" s="89"/>
      <c r="U98" s="89"/>
      <c r="V98" s="89"/>
      <c r="W98" s="89"/>
    </row>
    <row r="99" spans="1:23" ht="15" x14ac:dyDescent="0.15">
      <c r="A99" s="66"/>
      <c r="B99" s="67" t="s">
        <v>40</v>
      </c>
      <c r="C99" s="93"/>
      <c r="D99" s="93" t="str">
        <f t="shared" ref="D99:P99" ca="1" si="105">IFERROR(D98/D$4,"")</f>
        <v/>
      </c>
      <c r="E99" s="93" t="str">
        <f t="shared" ca="1" si="105"/>
        <v/>
      </c>
      <c r="F99" s="93" t="str">
        <f t="shared" ca="1" si="105"/>
        <v/>
      </c>
      <c r="G99" s="93" t="str">
        <f t="shared" ca="1" si="105"/>
        <v/>
      </c>
      <c r="H99" s="93" t="str">
        <f t="shared" ca="1" si="105"/>
        <v/>
      </c>
      <c r="I99" s="93" t="str">
        <f t="shared" ca="1" si="105"/>
        <v/>
      </c>
      <c r="J99" s="93" t="str">
        <f t="shared" ca="1" si="105"/>
        <v/>
      </c>
      <c r="K99" s="93" t="str">
        <f t="shared" ca="1" si="105"/>
        <v/>
      </c>
      <c r="L99" s="93" t="str">
        <f t="shared" ca="1" si="105"/>
        <v/>
      </c>
      <c r="M99" s="93" t="str">
        <f t="shared" ca="1" si="105"/>
        <v/>
      </c>
      <c r="N99" s="93" t="str">
        <f t="shared" ca="1" si="105"/>
        <v/>
      </c>
      <c r="O99" s="93" t="str">
        <f t="shared" ca="1" si="105"/>
        <v/>
      </c>
      <c r="P99" s="93" t="str">
        <f t="shared" ca="1" si="105"/>
        <v/>
      </c>
      <c r="Q99" s="95"/>
      <c r="R99" s="96"/>
      <c r="S99" s="96"/>
      <c r="T99" s="120"/>
      <c r="U99" s="120"/>
      <c r="V99" s="120"/>
      <c r="W99" s="120"/>
    </row>
    <row r="100" spans="1:23" ht="14" hidden="1" x14ac:dyDescent="0.15">
      <c r="A100" s="18"/>
      <c r="B100" s="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2"/>
      <c r="R100" s="123"/>
      <c r="S100" s="123"/>
      <c r="T100" s="124"/>
      <c r="U100" s="124"/>
      <c r="V100" s="124"/>
      <c r="W100" s="124"/>
    </row>
    <row r="101" spans="1:23" ht="15" x14ac:dyDescent="0.15">
      <c r="A101" s="35"/>
      <c r="B101" s="80" t="s">
        <v>11</v>
      </c>
      <c r="C101" s="81"/>
      <c r="D101" s="81">
        <f t="shared" ref="D101:O101" ca="1" si="106">SUM(D102:D110)</f>
        <v>0</v>
      </c>
      <c r="E101" s="81">
        <f t="shared" ca="1" si="106"/>
        <v>0</v>
      </c>
      <c r="F101" s="81">
        <f t="shared" ca="1" si="106"/>
        <v>0</v>
      </c>
      <c r="G101" s="81">
        <f t="shared" ca="1" si="106"/>
        <v>0</v>
      </c>
      <c r="H101" s="81">
        <f t="shared" ca="1" si="106"/>
        <v>0</v>
      </c>
      <c r="I101" s="81">
        <f t="shared" ca="1" si="106"/>
        <v>0</v>
      </c>
      <c r="J101" s="81">
        <f t="shared" ca="1" si="106"/>
        <v>0</v>
      </c>
      <c r="K101" s="81">
        <f t="shared" ca="1" si="106"/>
        <v>0</v>
      </c>
      <c r="L101" s="81">
        <f t="shared" ca="1" si="106"/>
        <v>0</v>
      </c>
      <c r="M101" s="81">
        <f t="shared" ca="1" si="106"/>
        <v>0</v>
      </c>
      <c r="N101" s="81">
        <f t="shared" ca="1" si="106"/>
        <v>0</v>
      </c>
      <c r="O101" s="81">
        <f t="shared" ca="1" si="106"/>
        <v>0</v>
      </c>
      <c r="P101" s="81">
        <f t="shared" ref="P101:P110" ca="1" si="107">SUM(D101:O101)</f>
        <v>0</v>
      </c>
      <c r="Q101" s="82"/>
      <c r="R101" s="83"/>
      <c r="S101" s="83"/>
      <c r="T101" s="47"/>
      <c r="U101" s="47"/>
      <c r="V101" s="47"/>
      <c r="W101" s="47"/>
    </row>
    <row r="102" spans="1:23" ht="16" x14ac:dyDescent="0.2">
      <c r="A102" s="54"/>
      <c r="B102" s="55" t="str">
        <f ca="1">IFERROR(__xludf.DUMMYFUNCTION("iferror(filter('Статьи'!$A$1:$A167,'Статьи'!$B$1:$B167=$B$101))"),"Доходы от вкладов и кешбек банка")</f>
        <v>Доходы от вкладов и кешбек банка</v>
      </c>
      <c r="C102" s="20"/>
      <c r="D102" s="20" t="str">
        <f t="shared" ref="D102:O102" ca="1" si="108">IF($O$1,IFERROR(INDIRECT("'"&amp;D$2&amp;"'!"&amp;$D$1&amp;MATCH($B102,INDIRECT("'"&amp;D$2&amp;"'!B1:B"),0)),""),
IFERROR(INDIRECT("'"&amp;D$2&amp;"!"&amp;$D$1&amp;MATCH($B102,INDIRECT("'"&amp;D$2&amp;"'!B:B"),0)),""))</f>
        <v/>
      </c>
      <c r="E102" s="20" t="str">
        <f t="shared" ca="1" si="108"/>
        <v/>
      </c>
      <c r="F102" s="20" t="str">
        <f t="shared" ca="1" si="108"/>
        <v/>
      </c>
      <c r="G102" s="20" t="str">
        <f t="shared" ca="1" si="108"/>
        <v/>
      </c>
      <c r="H102" s="20" t="str">
        <f t="shared" ca="1" si="108"/>
        <v/>
      </c>
      <c r="I102" s="20" t="str">
        <f t="shared" ca="1" si="108"/>
        <v/>
      </c>
      <c r="J102" s="20" t="str">
        <f t="shared" ca="1" si="108"/>
        <v/>
      </c>
      <c r="K102" s="20" t="str">
        <f t="shared" ca="1" si="108"/>
        <v/>
      </c>
      <c r="L102" s="20" t="str">
        <f t="shared" ca="1" si="108"/>
        <v/>
      </c>
      <c r="M102" s="20" t="str">
        <f t="shared" ca="1" si="108"/>
        <v/>
      </c>
      <c r="N102" s="20" t="str">
        <f t="shared" ca="1" si="108"/>
        <v/>
      </c>
      <c r="O102" s="20" t="str">
        <f t="shared" ca="1" si="108"/>
        <v/>
      </c>
      <c r="P102" s="20">
        <f t="shared" ca="1" si="107"/>
        <v>0</v>
      </c>
      <c r="Q102" s="32" t="e">
        <f ca="1">P102/$P$4</f>
        <v>#DIV/0!</v>
      </c>
      <c r="R102" s="79"/>
      <c r="S102" s="79"/>
      <c r="T102" s="34"/>
      <c r="U102" s="34"/>
      <c r="V102" s="34"/>
      <c r="W102" s="34"/>
    </row>
    <row r="103" spans="1:23" ht="16" hidden="1" x14ac:dyDescent="0.2">
      <c r="A103" s="54"/>
      <c r="B103" s="55"/>
      <c r="C103" s="20"/>
      <c r="D103" s="20" t="str">
        <f t="shared" ref="D103:O103" ca="1" si="109">IF($O$1,IFERROR(INDIRECT("'"&amp;D$2&amp;"'!"&amp;$D$1&amp;MATCH($B103,INDIRECT("'"&amp;D$2&amp;"'!B1:B"),0)),""),
IFERROR(INDIRECT("'"&amp;D$2&amp;"!"&amp;$D$1&amp;MATCH($B103,INDIRECT("'"&amp;D$2&amp;"'!B:B"),0)),""))</f>
        <v/>
      </c>
      <c r="E103" s="20" t="str">
        <f t="shared" ca="1" si="109"/>
        <v/>
      </c>
      <c r="F103" s="20" t="str">
        <f t="shared" ca="1" si="109"/>
        <v/>
      </c>
      <c r="G103" s="20" t="str">
        <f t="shared" ca="1" si="109"/>
        <v/>
      </c>
      <c r="H103" s="20" t="str">
        <f t="shared" ca="1" si="109"/>
        <v/>
      </c>
      <c r="I103" s="20" t="str">
        <f t="shared" ca="1" si="109"/>
        <v/>
      </c>
      <c r="J103" s="20" t="str">
        <f t="shared" ca="1" si="109"/>
        <v/>
      </c>
      <c r="K103" s="20" t="str">
        <f t="shared" ca="1" si="109"/>
        <v/>
      </c>
      <c r="L103" s="20" t="str">
        <f t="shared" ca="1" si="109"/>
        <v/>
      </c>
      <c r="M103" s="20" t="str">
        <f t="shared" ca="1" si="109"/>
        <v/>
      </c>
      <c r="N103" s="20" t="str">
        <f t="shared" ca="1" si="109"/>
        <v/>
      </c>
      <c r="O103" s="20" t="str">
        <f t="shared" ca="1" si="109"/>
        <v/>
      </c>
      <c r="P103" s="20">
        <f t="shared" ca="1" si="107"/>
        <v>0</v>
      </c>
      <c r="Q103" s="32"/>
      <c r="R103" s="79"/>
      <c r="S103" s="79"/>
      <c r="T103" s="34"/>
      <c r="U103" s="34"/>
      <c r="V103" s="34"/>
      <c r="W103" s="34"/>
    </row>
    <row r="104" spans="1:23" ht="16" hidden="1" x14ac:dyDescent="0.2">
      <c r="A104" s="54"/>
      <c r="B104" s="55"/>
      <c r="C104" s="20"/>
      <c r="D104" s="20" t="str">
        <f t="shared" ref="D104:O104" ca="1" si="110">IF($O$1,IFERROR(INDIRECT("'"&amp;D$2&amp;"'!"&amp;$D$1&amp;MATCH($B104,INDIRECT("'"&amp;D$2&amp;"'!B1:B"),0)),""),
IFERROR(INDIRECT("'"&amp;D$2&amp;"!"&amp;$D$1&amp;MATCH($B104,INDIRECT("'"&amp;D$2&amp;"'!B:B"),0)),""))</f>
        <v/>
      </c>
      <c r="E104" s="20" t="str">
        <f t="shared" ca="1" si="110"/>
        <v/>
      </c>
      <c r="F104" s="20" t="str">
        <f t="shared" ca="1" si="110"/>
        <v/>
      </c>
      <c r="G104" s="20" t="str">
        <f t="shared" ca="1" si="110"/>
        <v/>
      </c>
      <c r="H104" s="20" t="str">
        <f t="shared" ca="1" si="110"/>
        <v/>
      </c>
      <c r="I104" s="20" t="str">
        <f t="shared" ca="1" si="110"/>
        <v/>
      </c>
      <c r="J104" s="20" t="str">
        <f t="shared" ca="1" si="110"/>
        <v/>
      </c>
      <c r="K104" s="20" t="str">
        <f t="shared" ca="1" si="110"/>
        <v/>
      </c>
      <c r="L104" s="20" t="str">
        <f t="shared" ca="1" si="110"/>
        <v/>
      </c>
      <c r="M104" s="20" t="str">
        <f t="shared" ca="1" si="110"/>
        <v/>
      </c>
      <c r="N104" s="20" t="str">
        <f t="shared" ca="1" si="110"/>
        <v/>
      </c>
      <c r="O104" s="20" t="str">
        <f t="shared" ca="1" si="110"/>
        <v/>
      </c>
      <c r="P104" s="20">
        <f t="shared" ca="1" si="107"/>
        <v>0</v>
      </c>
      <c r="Q104" s="32"/>
      <c r="R104" s="79"/>
      <c r="S104" s="79"/>
      <c r="T104" s="34"/>
      <c r="U104" s="34"/>
      <c r="V104" s="34"/>
      <c r="W104" s="34"/>
    </row>
    <row r="105" spans="1:23" ht="16" hidden="1" x14ac:dyDescent="0.2">
      <c r="A105" s="54"/>
      <c r="B105" s="55"/>
      <c r="C105" s="20"/>
      <c r="D105" s="20" t="str">
        <f t="shared" ref="D105:O105" ca="1" si="111">IF($O$1,IFERROR(INDIRECT("'"&amp;D$2&amp;"'!"&amp;$D$1&amp;MATCH($B105,INDIRECT("'"&amp;D$2&amp;"'!B1:B"),0)),""),
IFERROR(INDIRECT("'"&amp;D$2&amp;"!"&amp;$D$1&amp;MATCH($B105,INDIRECT("'"&amp;D$2&amp;"'!B:B"),0)),""))</f>
        <v/>
      </c>
      <c r="E105" s="20" t="str">
        <f t="shared" ca="1" si="111"/>
        <v/>
      </c>
      <c r="F105" s="20" t="str">
        <f t="shared" ca="1" si="111"/>
        <v/>
      </c>
      <c r="G105" s="20" t="str">
        <f t="shared" ca="1" si="111"/>
        <v/>
      </c>
      <c r="H105" s="20" t="str">
        <f t="shared" ca="1" si="111"/>
        <v/>
      </c>
      <c r="I105" s="20" t="str">
        <f t="shared" ca="1" si="111"/>
        <v/>
      </c>
      <c r="J105" s="20" t="str">
        <f t="shared" ca="1" si="111"/>
        <v/>
      </c>
      <c r="K105" s="20" t="str">
        <f t="shared" ca="1" si="111"/>
        <v/>
      </c>
      <c r="L105" s="20" t="str">
        <f t="shared" ca="1" si="111"/>
        <v/>
      </c>
      <c r="M105" s="20" t="str">
        <f t="shared" ca="1" si="111"/>
        <v/>
      </c>
      <c r="N105" s="20" t="str">
        <f t="shared" ca="1" si="111"/>
        <v/>
      </c>
      <c r="O105" s="20" t="str">
        <f t="shared" ca="1" si="111"/>
        <v/>
      </c>
      <c r="P105" s="20">
        <f t="shared" ca="1" si="107"/>
        <v>0</v>
      </c>
      <c r="Q105" s="32"/>
      <c r="R105" s="79"/>
      <c r="S105" s="79"/>
      <c r="T105" s="34"/>
      <c r="U105" s="34"/>
      <c r="V105" s="34"/>
      <c r="W105" s="34"/>
    </row>
    <row r="106" spans="1:23" ht="16" hidden="1" x14ac:dyDescent="0.2">
      <c r="A106" s="54"/>
      <c r="B106" s="55"/>
      <c r="C106" s="20"/>
      <c r="D106" s="20" t="str">
        <f t="shared" ref="D106:O106" ca="1" si="112">IF($O$1,IFERROR(INDIRECT("'"&amp;D$2&amp;"'!"&amp;$D$1&amp;MATCH($B106,INDIRECT("'"&amp;D$2&amp;"'!B1:B"),0)),""),
IFERROR(INDIRECT("'"&amp;D$2&amp;"!"&amp;$D$1&amp;MATCH($B106,INDIRECT("'"&amp;D$2&amp;"'!B:B"),0)),""))</f>
        <v/>
      </c>
      <c r="E106" s="20" t="str">
        <f t="shared" ca="1" si="112"/>
        <v/>
      </c>
      <c r="F106" s="20" t="str">
        <f t="shared" ca="1" si="112"/>
        <v/>
      </c>
      <c r="G106" s="20" t="str">
        <f t="shared" ca="1" si="112"/>
        <v/>
      </c>
      <c r="H106" s="20" t="str">
        <f t="shared" ca="1" si="112"/>
        <v/>
      </c>
      <c r="I106" s="20" t="str">
        <f t="shared" ca="1" si="112"/>
        <v/>
      </c>
      <c r="J106" s="20" t="str">
        <f t="shared" ca="1" si="112"/>
        <v/>
      </c>
      <c r="K106" s="20" t="str">
        <f t="shared" ca="1" si="112"/>
        <v/>
      </c>
      <c r="L106" s="20" t="str">
        <f t="shared" ca="1" si="112"/>
        <v/>
      </c>
      <c r="M106" s="20" t="str">
        <f t="shared" ca="1" si="112"/>
        <v/>
      </c>
      <c r="N106" s="20" t="str">
        <f t="shared" ca="1" si="112"/>
        <v/>
      </c>
      <c r="O106" s="20" t="str">
        <f t="shared" ca="1" si="112"/>
        <v/>
      </c>
      <c r="P106" s="20">
        <f t="shared" ca="1" si="107"/>
        <v>0</v>
      </c>
      <c r="Q106" s="32"/>
      <c r="R106" s="79"/>
      <c r="S106" s="79"/>
      <c r="T106" s="34"/>
      <c r="U106" s="34"/>
      <c r="V106" s="34"/>
      <c r="W106" s="34"/>
    </row>
    <row r="107" spans="1:23" ht="16" hidden="1" x14ac:dyDescent="0.2">
      <c r="A107" s="54"/>
      <c r="B107" s="55"/>
      <c r="C107" s="20"/>
      <c r="D107" s="20" t="str">
        <f t="shared" ref="D107:O107" ca="1" si="113">IF($O$1,IFERROR(INDIRECT("'"&amp;D$2&amp;"'!"&amp;$D$1&amp;MATCH($B107,INDIRECT("'"&amp;D$2&amp;"'!B1:B"),0)),""),
IFERROR(INDIRECT("'"&amp;D$2&amp;"!"&amp;$D$1&amp;MATCH($B107,INDIRECT("'"&amp;D$2&amp;"'!B:B"),0)),""))</f>
        <v/>
      </c>
      <c r="E107" s="20" t="str">
        <f t="shared" ca="1" si="113"/>
        <v/>
      </c>
      <c r="F107" s="20" t="str">
        <f t="shared" ca="1" si="113"/>
        <v/>
      </c>
      <c r="G107" s="20" t="str">
        <f t="shared" ca="1" si="113"/>
        <v/>
      </c>
      <c r="H107" s="20" t="str">
        <f t="shared" ca="1" si="113"/>
        <v/>
      </c>
      <c r="I107" s="20" t="str">
        <f t="shared" ca="1" si="113"/>
        <v/>
      </c>
      <c r="J107" s="20" t="str">
        <f t="shared" ca="1" si="113"/>
        <v/>
      </c>
      <c r="K107" s="20" t="str">
        <f t="shared" ca="1" si="113"/>
        <v/>
      </c>
      <c r="L107" s="20" t="str">
        <f t="shared" ca="1" si="113"/>
        <v/>
      </c>
      <c r="M107" s="20" t="str">
        <f t="shared" ca="1" si="113"/>
        <v/>
      </c>
      <c r="N107" s="20" t="str">
        <f t="shared" ca="1" si="113"/>
        <v/>
      </c>
      <c r="O107" s="20" t="str">
        <f t="shared" ca="1" si="113"/>
        <v/>
      </c>
      <c r="P107" s="20">
        <f t="shared" ca="1" si="107"/>
        <v>0</v>
      </c>
      <c r="Q107" s="32"/>
      <c r="R107" s="79"/>
      <c r="S107" s="79"/>
      <c r="T107" s="34"/>
      <c r="U107" s="34"/>
      <c r="V107" s="34"/>
      <c r="W107" s="34"/>
    </row>
    <row r="108" spans="1:23" ht="16" hidden="1" x14ac:dyDescent="0.2">
      <c r="A108" s="54"/>
      <c r="B108" s="55"/>
      <c r="C108" s="20"/>
      <c r="D108" s="20" t="str">
        <f t="shared" ref="D108:O108" ca="1" si="114">IF($O$1,IFERROR(INDIRECT("'"&amp;D$2&amp;"'!"&amp;$D$1&amp;MATCH($B108,INDIRECT("'"&amp;D$2&amp;"'!B1:B"),0)),""),
IFERROR(INDIRECT("'"&amp;D$2&amp;"!"&amp;$D$1&amp;MATCH($B108,INDIRECT("'"&amp;D$2&amp;"'!B:B"),0)),""))</f>
        <v/>
      </c>
      <c r="E108" s="20" t="str">
        <f t="shared" ca="1" si="114"/>
        <v/>
      </c>
      <c r="F108" s="20" t="str">
        <f t="shared" ca="1" si="114"/>
        <v/>
      </c>
      <c r="G108" s="20" t="str">
        <f t="shared" ca="1" si="114"/>
        <v/>
      </c>
      <c r="H108" s="20" t="str">
        <f t="shared" ca="1" si="114"/>
        <v/>
      </c>
      <c r="I108" s="20" t="str">
        <f t="shared" ca="1" si="114"/>
        <v/>
      </c>
      <c r="J108" s="20" t="str">
        <f t="shared" ca="1" si="114"/>
        <v/>
      </c>
      <c r="K108" s="20" t="str">
        <f t="shared" ca="1" si="114"/>
        <v/>
      </c>
      <c r="L108" s="20" t="str">
        <f t="shared" ca="1" si="114"/>
        <v/>
      </c>
      <c r="M108" s="20" t="str">
        <f t="shared" ca="1" si="114"/>
        <v/>
      </c>
      <c r="N108" s="20" t="str">
        <f t="shared" ca="1" si="114"/>
        <v/>
      </c>
      <c r="O108" s="20" t="str">
        <f t="shared" ca="1" si="114"/>
        <v/>
      </c>
      <c r="P108" s="20">
        <f t="shared" ca="1" si="107"/>
        <v>0</v>
      </c>
      <c r="Q108" s="32"/>
      <c r="R108" s="79"/>
      <c r="S108" s="79"/>
      <c r="T108" s="34"/>
      <c r="U108" s="34"/>
      <c r="V108" s="34"/>
      <c r="W108" s="34"/>
    </row>
    <row r="109" spans="1:23" ht="16" hidden="1" x14ac:dyDescent="0.2">
      <c r="A109" s="54"/>
      <c r="B109" s="55"/>
      <c r="C109" s="20"/>
      <c r="D109" s="20" t="str">
        <f t="shared" ref="D109:O109" ca="1" si="115">IF($O$1,IFERROR(INDIRECT("'"&amp;D$2&amp;"'!"&amp;$D$1&amp;MATCH($B109,INDIRECT("'"&amp;D$2&amp;"'!B1:B"),0)),""),
IFERROR(INDIRECT("'"&amp;D$2&amp;"!"&amp;$D$1&amp;MATCH($B109,INDIRECT("'"&amp;D$2&amp;"'!B:B"),0)),""))</f>
        <v/>
      </c>
      <c r="E109" s="20" t="str">
        <f t="shared" ca="1" si="115"/>
        <v/>
      </c>
      <c r="F109" s="20" t="str">
        <f t="shared" ca="1" si="115"/>
        <v/>
      </c>
      <c r="G109" s="20" t="str">
        <f t="shared" ca="1" si="115"/>
        <v/>
      </c>
      <c r="H109" s="20" t="str">
        <f t="shared" ca="1" si="115"/>
        <v/>
      </c>
      <c r="I109" s="20" t="str">
        <f t="shared" ca="1" si="115"/>
        <v/>
      </c>
      <c r="J109" s="20" t="str">
        <f t="shared" ca="1" si="115"/>
        <v/>
      </c>
      <c r="K109" s="20" t="str">
        <f t="shared" ca="1" si="115"/>
        <v/>
      </c>
      <c r="L109" s="20" t="str">
        <f t="shared" ca="1" si="115"/>
        <v/>
      </c>
      <c r="M109" s="20" t="str">
        <f t="shared" ca="1" si="115"/>
        <v/>
      </c>
      <c r="N109" s="20" t="str">
        <f t="shared" ca="1" si="115"/>
        <v/>
      </c>
      <c r="O109" s="20" t="str">
        <f t="shared" ca="1" si="115"/>
        <v/>
      </c>
      <c r="P109" s="20">
        <f t="shared" ca="1" si="107"/>
        <v>0</v>
      </c>
      <c r="Q109" s="32"/>
      <c r="R109" s="79"/>
      <c r="S109" s="79"/>
      <c r="T109" s="34"/>
      <c r="U109" s="34"/>
      <c r="V109" s="34"/>
      <c r="W109" s="34"/>
    </row>
    <row r="110" spans="1:23" ht="16" hidden="1" x14ac:dyDescent="0.2">
      <c r="A110" s="54"/>
      <c r="B110" s="55"/>
      <c r="C110" s="20"/>
      <c r="D110" s="20" t="str">
        <f t="shared" ref="D110:O110" ca="1" si="116">IF($O$1,IFERROR(INDIRECT("'"&amp;D$2&amp;"'!"&amp;$D$1&amp;MATCH($B110,INDIRECT("'"&amp;D$2&amp;"'!B1:B"),0)),""),
IFERROR(INDIRECT("'"&amp;D$2&amp;"!"&amp;$D$1&amp;MATCH($B110,INDIRECT("'"&amp;D$2&amp;"'!B:B"),0)),""))</f>
        <v/>
      </c>
      <c r="E110" s="20" t="str">
        <f t="shared" ca="1" si="116"/>
        <v/>
      </c>
      <c r="F110" s="20" t="str">
        <f t="shared" ca="1" si="116"/>
        <v/>
      </c>
      <c r="G110" s="20" t="str">
        <f t="shared" ca="1" si="116"/>
        <v/>
      </c>
      <c r="H110" s="20" t="str">
        <f t="shared" ca="1" si="116"/>
        <v/>
      </c>
      <c r="I110" s="20" t="str">
        <f t="shared" ca="1" si="116"/>
        <v/>
      </c>
      <c r="J110" s="20" t="str">
        <f t="shared" ca="1" si="116"/>
        <v/>
      </c>
      <c r="K110" s="20" t="str">
        <f t="shared" ca="1" si="116"/>
        <v/>
      </c>
      <c r="L110" s="20" t="str">
        <f t="shared" ca="1" si="116"/>
        <v/>
      </c>
      <c r="M110" s="20" t="str">
        <f t="shared" ca="1" si="116"/>
        <v/>
      </c>
      <c r="N110" s="20" t="str">
        <f t="shared" ca="1" si="116"/>
        <v/>
      </c>
      <c r="O110" s="20" t="str">
        <f t="shared" ca="1" si="116"/>
        <v/>
      </c>
      <c r="P110" s="20">
        <f t="shared" ca="1" si="107"/>
        <v>0</v>
      </c>
      <c r="Q110" s="32"/>
      <c r="R110" s="79"/>
      <c r="S110" s="79"/>
      <c r="T110" s="34"/>
      <c r="U110" s="34"/>
      <c r="V110" s="34"/>
      <c r="W110" s="34"/>
    </row>
    <row r="111" spans="1:23" ht="14" hidden="1" x14ac:dyDescent="0.15">
      <c r="A111" s="35"/>
      <c r="B111" s="36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118"/>
      <c r="R111" s="83"/>
      <c r="S111" s="83"/>
      <c r="T111" s="47"/>
      <c r="U111" s="47"/>
      <c r="V111" s="47"/>
      <c r="W111" s="47"/>
    </row>
    <row r="112" spans="1:23" ht="15" x14ac:dyDescent="0.15">
      <c r="A112" s="35"/>
      <c r="B112" s="80" t="s">
        <v>12</v>
      </c>
      <c r="C112" s="81"/>
      <c r="D112" s="81">
        <f t="shared" ref="D112:O112" ca="1" si="117">SUM(D113:D120)</f>
        <v>0</v>
      </c>
      <c r="E112" s="81">
        <f t="shared" ca="1" si="117"/>
        <v>0</v>
      </c>
      <c r="F112" s="81">
        <f t="shared" ca="1" si="117"/>
        <v>0</v>
      </c>
      <c r="G112" s="81">
        <f t="shared" ca="1" si="117"/>
        <v>0</v>
      </c>
      <c r="H112" s="81">
        <f t="shared" ca="1" si="117"/>
        <v>0</v>
      </c>
      <c r="I112" s="81">
        <f t="shared" ca="1" si="117"/>
        <v>0</v>
      </c>
      <c r="J112" s="81">
        <f t="shared" ca="1" si="117"/>
        <v>0</v>
      </c>
      <c r="K112" s="81">
        <f t="shared" ca="1" si="117"/>
        <v>0</v>
      </c>
      <c r="L112" s="81">
        <f t="shared" ca="1" si="117"/>
        <v>0</v>
      </c>
      <c r="M112" s="81">
        <f t="shared" ca="1" si="117"/>
        <v>0</v>
      </c>
      <c r="N112" s="81">
        <f t="shared" ca="1" si="117"/>
        <v>0</v>
      </c>
      <c r="O112" s="81">
        <f t="shared" ca="1" si="117"/>
        <v>0</v>
      </c>
      <c r="P112" s="81">
        <f t="shared" ref="P112:P121" ca="1" si="118">SUM(D112:O112)</f>
        <v>0</v>
      </c>
      <c r="Q112" s="82" t="e">
        <f t="shared" ref="Q112:Q114" ca="1" si="119">P112/$P$4</f>
        <v>#DIV/0!</v>
      </c>
      <c r="R112" s="52"/>
      <c r="S112" s="52"/>
      <c r="T112" s="125"/>
      <c r="U112" s="47"/>
      <c r="V112" s="47"/>
      <c r="W112" s="47"/>
    </row>
    <row r="113" spans="1:23" ht="15" x14ac:dyDescent="0.2">
      <c r="A113" s="54"/>
      <c r="B113" s="55" t="str">
        <f ca="1">IFERROR(__xludf.DUMMYFUNCTION("iferror(filter('Статьи'!$A$1:$A167,'Статьи'!$B$1:$B167=$B$112))"),"Налог УСН ")</f>
        <v xml:space="preserve">Налог УСН </v>
      </c>
      <c r="C113" s="20"/>
      <c r="D113" s="20" t="str">
        <f t="shared" ref="D113:O113" ca="1" si="120">IF($O$1,IFERROR(INDIRECT("'"&amp;D$2&amp;"'!"&amp;$D$1&amp;MATCH($B113,INDIRECT("'"&amp;D$2&amp;"'!B1:B"),0)),""),
IFERROR(INDIRECT("'"&amp;D$2&amp;"!"&amp;$D$1&amp;MATCH($B113,INDIRECT("'"&amp;D$2&amp;"'!B:B"),0)),""))</f>
        <v/>
      </c>
      <c r="E113" s="20" t="str">
        <f t="shared" ca="1" si="120"/>
        <v/>
      </c>
      <c r="F113" s="20" t="str">
        <f t="shared" ca="1" si="120"/>
        <v/>
      </c>
      <c r="G113" s="20" t="str">
        <f t="shared" ca="1" si="120"/>
        <v/>
      </c>
      <c r="H113" s="20" t="str">
        <f t="shared" ca="1" si="120"/>
        <v/>
      </c>
      <c r="I113" s="20" t="str">
        <f t="shared" ca="1" si="120"/>
        <v/>
      </c>
      <c r="J113" s="20" t="str">
        <f t="shared" ca="1" si="120"/>
        <v/>
      </c>
      <c r="K113" s="20" t="str">
        <f t="shared" ca="1" si="120"/>
        <v/>
      </c>
      <c r="L113" s="20" t="str">
        <f t="shared" ca="1" si="120"/>
        <v/>
      </c>
      <c r="M113" s="20" t="str">
        <f t="shared" ca="1" si="120"/>
        <v/>
      </c>
      <c r="N113" s="20" t="str">
        <f t="shared" ca="1" si="120"/>
        <v/>
      </c>
      <c r="O113" s="20" t="str">
        <f t="shared" ca="1" si="120"/>
        <v/>
      </c>
      <c r="P113" s="20">
        <f t="shared" ca="1" si="118"/>
        <v>0</v>
      </c>
      <c r="Q113" s="51" t="e">
        <f t="shared" ca="1" si="119"/>
        <v>#DIV/0!</v>
      </c>
      <c r="R113" s="52"/>
      <c r="S113" s="52"/>
      <c r="T113" s="34"/>
      <c r="U113" s="34"/>
      <c r="V113" s="34"/>
      <c r="W113" s="34"/>
    </row>
    <row r="114" spans="1:23" ht="15" hidden="1" collapsed="1" x14ac:dyDescent="0.2">
      <c r="A114" s="54"/>
      <c r="B114" s="55" t="str">
        <f ca="1">IFERROR(__xludf.DUMMYFUNCTION("""COMPUTED_VALUE"""),"Доля Маши")</f>
        <v>Доля Маши</v>
      </c>
      <c r="C114" s="20"/>
      <c r="D114" s="20" t="str">
        <f t="shared" ref="D114:O114" ca="1" si="121">IF($O$1,IFERROR(INDIRECT("'"&amp;D$2&amp;"'!"&amp;$D$1&amp;MATCH($B114,INDIRECT("'"&amp;D$2&amp;"'!B1:B"),0)),""),
IFERROR(INDIRECT("'"&amp;D$2&amp;"!"&amp;$D$1&amp;MATCH($B114,INDIRECT("'"&amp;D$2&amp;"'!B:B"),0)),""))</f>
        <v/>
      </c>
      <c r="E114" s="20" t="str">
        <f t="shared" ca="1" si="121"/>
        <v/>
      </c>
      <c r="F114" s="20" t="str">
        <f t="shared" ca="1" si="121"/>
        <v/>
      </c>
      <c r="G114" s="20" t="str">
        <f t="shared" ca="1" si="121"/>
        <v/>
      </c>
      <c r="H114" s="20" t="str">
        <f t="shared" ca="1" si="121"/>
        <v/>
      </c>
      <c r="I114" s="20" t="str">
        <f t="shared" ca="1" si="121"/>
        <v/>
      </c>
      <c r="J114" s="20" t="str">
        <f t="shared" ca="1" si="121"/>
        <v/>
      </c>
      <c r="K114" s="20" t="str">
        <f t="shared" ca="1" si="121"/>
        <v/>
      </c>
      <c r="L114" s="20" t="str">
        <f t="shared" ca="1" si="121"/>
        <v/>
      </c>
      <c r="M114" s="20" t="str">
        <f t="shared" ca="1" si="121"/>
        <v/>
      </c>
      <c r="N114" s="20" t="str">
        <f t="shared" ca="1" si="121"/>
        <v/>
      </c>
      <c r="O114" s="20" t="str">
        <f t="shared" ca="1" si="121"/>
        <v/>
      </c>
      <c r="P114" s="20">
        <f t="shared" ca="1" si="118"/>
        <v>0</v>
      </c>
      <c r="Q114" s="32" t="e">
        <f t="shared" ca="1" si="119"/>
        <v>#DIV/0!</v>
      </c>
      <c r="R114" s="52"/>
      <c r="S114" s="52"/>
      <c r="T114" s="34"/>
      <c r="U114" s="34"/>
      <c r="V114" s="34"/>
      <c r="W114" s="34"/>
    </row>
    <row r="115" spans="1:23" ht="15" hidden="1" outlineLevel="1" x14ac:dyDescent="0.2">
      <c r="A115" s="54"/>
      <c r="B115" s="55"/>
      <c r="C115" s="20"/>
      <c r="D115" s="20" t="str">
        <f t="shared" ref="D115:O115" ca="1" si="122">IF($O$1,IFERROR(INDIRECT("'"&amp;D$2&amp;"'!"&amp;$D$1&amp;MATCH($B115,INDIRECT("'"&amp;D$2&amp;"'!B1:B"),0)),""),
IFERROR(INDIRECT("'"&amp;D$2&amp;"!"&amp;$D$1&amp;MATCH($B115,INDIRECT("'"&amp;D$2&amp;"'!B:B"),0)),""))</f>
        <v/>
      </c>
      <c r="E115" s="20" t="str">
        <f t="shared" ca="1" si="122"/>
        <v/>
      </c>
      <c r="F115" s="20" t="str">
        <f t="shared" ca="1" si="122"/>
        <v/>
      </c>
      <c r="G115" s="20" t="str">
        <f t="shared" ca="1" si="122"/>
        <v/>
      </c>
      <c r="H115" s="20" t="str">
        <f t="shared" ca="1" si="122"/>
        <v/>
      </c>
      <c r="I115" s="20" t="str">
        <f t="shared" ca="1" si="122"/>
        <v/>
      </c>
      <c r="J115" s="20" t="str">
        <f t="shared" ca="1" si="122"/>
        <v/>
      </c>
      <c r="K115" s="20" t="str">
        <f t="shared" ca="1" si="122"/>
        <v/>
      </c>
      <c r="L115" s="20" t="str">
        <f t="shared" ca="1" si="122"/>
        <v/>
      </c>
      <c r="M115" s="20" t="str">
        <f t="shared" ca="1" si="122"/>
        <v/>
      </c>
      <c r="N115" s="20" t="str">
        <f t="shared" ca="1" si="122"/>
        <v/>
      </c>
      <c r="O115" s="20" t="str">
        <f t="shared" ca="1" si="122"/>
        <v/>
      </c>
      <c r="P115" s="20">
        <f t="shared" ca="1" si="118"/>
        <v>0</v>
      </c>
      <c r="Q115" s="32"/>
      <c r="R115" s="52"/>
      <c r="S115" s="52"/>
      <c r="T115" s="34"/>
      <c r="U115" s="34"/>
      <c r="V115" s="34"/>
      <c r="W115" s="34"/>
    </row>
    <row r="116" spans="1:23" ht="15" hidden="1" outlineLevel="1" x14ac:dyDescent="0.2">
      <c r="A116" s="54"/>
      <c r="B116" s="55"/>
      <c r="C116" s="20"/>
      <c r="D116" s="20" t="str">
        <f t="shared" ref="D116:O116" ca="1" si="123">IF($O$1,IFERROR(INDIRECT("'"&amp;D$2&amp;"'!"&amp;$D$1&amp;MATCH($B116,INDIRECT("'"&amp;D$2&amp;"'!B1:B"),0)),""),
IFERROR(INDIRECT("'"&amp;D$2&amp;"!"&amp;$D$1&amp;MATCH($B116,INDIRECT("'"&amp;D$2&amp;"'!B:B"),0)),""))</f>
        <v/>
      </c>
      <c r="E116" s="20" t="str">
        <f t="shared" ca="1" si="123"/>
        <v/>
      </c>
      <c r="F116" s="20" t="str">
        <f t="shared" ca="1" si="123"/>
        <v/>
      </c>
      <c r="G116" s="20" t="str">
        <f t="shared" ca="1" si="123"/>
        <v/>
      </c>
      <c r="H116" s="20" t="str">
        <f t="shared" ca="1" si="123"/>
        <v/>
      </c>
      <c r="I116" s="20" t="str">
        <f t="shared" ca="1" si="123"/>
        <v/>
      </c>
      <c r="J116" s="20" t="str">
        <f t="shared" ca="1" si="123"/>
        <v/>
      </c>
      <c r="K116" s="20" t="str">
        <f t="shared" ca="1" si="123"/>
        <v/>
      </c>
      <c r="L116" s="20" t="str">
        <f t="shared" ca="1" si="123"/>
        <v/>
      </c>
      <c r="M116" s="20" t="str">
        <f t="shared" ca="1" si="123"/>
        <v/>
      </c>
      <c r="N116" s="20" t="str">
        <f t="shared" ca="1" si="123"/>
        <v/>
      </c>
      <c r="O116" s="20" t="str">
        <f t="shared" ca="1" si="123"/>
        <v/>
      </c>
      <c r="P116" s="20">
        <f t="shared" ca="1" si="118"/>
        <v>0</v>
      </c>
      <c r="Q116" s="32"/>
      <c r="R116" s="52"/>
      <c r="S116" s="52"/>
      <c r="T116" s="34"/>
      <c r="U116" s="34"/>
      <c r="V116" s="34"/>
      <c r="W116" s="34"/>
    </row>
    <row r="117" spans="1:23" ht="15" hidden="1" outlineLevel="1" x14ac:dyDescent="0.2">
      <c r="A117" s="54"/>
      <c r="B117" s="55"/>
      <c r="C117" s="20"/>
      <c r="D117" s="20" t="str">
        <f t="shared" ref="D117:O117" ca="1" si="124">IF($O$1,IFERROR(INDIRECT("'"&amp;D$2&amp;"'!"&amp;$D$1&amp;MATCH($B117,INDIRECT("'"&amp;D$2&amp;"'!B1:B"),0)),""),
IFERROR(INDIRECT("'"&amp;D$2&amp;"!"&amp;$D$1&amp;MATCH($B117,INDIRECT("'"&amp;D$2&amp;"'!B:B"),0)),""))</f>
        <v/>
      </c>
      <c r="E117" s="20" t="str">
        <f t="shared" ca="1" si="124"/>
        <v/>
      </c>
      <c r="F117" s="20" t="str">
        <f t="shared" ca="1" si="124"/>
        <v/>
      </c>
      <c r="G117" s="20" t="str">
        <f t="shared" ca="1" si="124"/>
        <v/>
      </c>
      <c r="H117" s="20" t="str">
        <f t="shared" ca="1" si="124"/>
        <v/>
      </c>
      <c r="I117" s="20" t="str">
        <f t="shared" ca="1" si="124"/>
        <v/>
      </c>
      <c r="J117" s="20" t="str">
        <f t="shared" ca="1" si="124"/>
        <v/>
      </c>
      <c r="K117" s="20" t="str">
        <f t="shared" ca="1" si="124"/>
        <v/>
      </c>
      <c r="L117" s="20" t="str">
        <f t="shared" ca="1" si="124"/>
        <v/>
      </c>
      <c r="M117" s="20" t="str">
        <f t="shared" ca="1" si="124"/>
        <v/>
      </c>
      <c r="N117" s="20" t="str">
        <f t="shared" ca="1" si="124"/>
        <v/>
      </c>
      <c r="O117" s="20" t="str">
        <f t="shared" ca="1" si="124"/>
        <v/>
      </c>
      <c r="P117" s="20">
        <f t="shared" ca="1" si="118"/>
        <v>0</v>
      </c>
      <c r="Q117" s="32"/>
      <c r="R117" s="52"/>
      <c r="S117" s="52"/>
      <c r="T117" s="34"/>
      <c r="U117" s="34"/>
      <c r="V117" s="34"/>
      <c r="W117" s="34"/>
    </row>
    <row r="118" spans="1:23" ht="15" hidden="1" outlineLevel="1" x14ac:dyDescent="0.2">
      <c r="A118" s="54"/>
      <c r="B118" s="55"/>
      <c r="C118" s="20"/>
      <c r="D118" s="20" t="str">
        <f t="shared" ref="D118:O118" ca="1" si="125">IF($O$1,IFERROR(INDIRECT("'"&amp;D$2&amp;"'!"&amp;$D$1&amp;MATCH($B118,INDIRECT("'"&amp;D$2&amp;"'!B1:B"),0)),""),
IFERROR(INDIRECT("'"&amp;D$2&amp;"!"&amp;$D$1&amp;MATCH($B118,INDIRECT("'"&amp;D$2&amp;"'!B:B"),0)),""))</f>
        <v/>
      </c>
      <c r="E118" s="20" t="str">
        <f t="shared" ca="1" si="125"/>
        <v/>
      </c>
      <c r="F118" s="20" t="str">
        <f t="shared" ca="1" si="125"/>
        <v/>
      </c>
      <c r="G118" s="20" t="str">
        <f t="shared" ca="1" si="125"/>
        <v/>
      </c>
      <c r="H118" s="20" t="str">
        <f t="shared" ca="1" si="125"/>
        <v/>
      </c>
      <c r="I118" s="20" t="str">
        <f t="shared" ca="1" si="125"/>
        <v/>
      </c>
      <c r="J118" s="20" t="str">
        <f t="shared" ca="1" si="125"/>
        <v/>
      </c>
      <c r="K118" s="20" t="str">
        <f t="shared" ca="1" si="125"/>
        <v/>
      </c>
      <c r="L118" s="20" t="str">
        <f t="shared" ca="1" si="125"/>
        <v/>
      </c>
      <c r="M118" s="20" t="str">
        <f t="shared" ca="1" si="125"/>
        <v/>
      </c>
      <c r="N118" s="20" t="str">
        <f t="shared" ca="1" si="125"/>
        <v/>
      </c>
      <c r="O118" s="20" t="str">
        <f t="shared" ca="1" si="125"/>
        <v/>
      </c>
      <c r="P118" s="20">
        <f t="shared" ca="1" si="118"/>
        <v>0</v>
      </c>
      <c r="Q118" s="32"/>
      <c r="R118" s="52"/>
      <c r="S118" s="52"/>
      <c r="T118" s="34"/>
      <c r="U118" s="34"/>
      <c r="V118" s="34"/>
      <c r="W118" s="34"/>
    </row>
    <row r="119" spans="1:23" ht="15" hidden="1" outlineLevel="1" x14ac:dyDescent="0.2">
      <c r="A119" s="54"/>
      <c r="B119" s="55"/>
      <c r="C119" s="20"/>
      <c r="D119" s="20" t="str">
        <f t="shared" ref="D119:O119" ca="1" si="126">IF($O$1,IFERROR(INDIRECT("'"&amp;D$2&amp;"'!"&amp;$D$1&amp;MATCH($B119,INDIRECT("'"&amp;D$2&amp;"'!B1:B"),0)),""),
IFERROR(INDIRECT("'"&amp;D$2&amp;"!"&amp;$D$1&amp;MATCH($B119,INDIRECT("'"&amp;D$2&amp;"'!B:B"),0)),""))</f>
        <v/>
      </c>
      <c r="E119" s="20" t="str">
        <f t="shared" ca="1" si="126"/>
        <v/>
      </c>
      <c r="F119" s="20" t="str">
        <f t="shared" ca="1" si="126"/>
        <v/>
      </c>
      <c r="G119" s="20" t="str">
        <f t="shared" ca="1" si="126"/>
        <v/>
      </c>
      <c r="H119" s="20" t="str">
        <f t="shared" ca="1" si="126"/>
        <v/>
      </c>
      <c r="I119" s="20" t="str">
        <f t="shared" ca="1" si="126"/>
        <v/>
      </c>
      <c r="J119" s="20" t="str">
        <f t="shared" ca="1" si="126"/>
        <v/>
      </c>
      <c r="K119" s="20" t="str">
        <f t="shared" ca="1" si="126"/>
        <v/>
      </c>
      <c r="L119" s="20" t="str">
        <f t="shared" ca="1" si="126"/>
        <v/>
      </c>
      <c r="M119" s="20" t="str">
        <f t="shared" ca="1" si="126"/>
        <v/>
      </c>
      <c r="N119" s="20" t="str">
        <f t="shared" ca="1" si="126"/>
        <v/>
      </c>
      <c r="O119" s="20" t="str">
        <f t="shared" ca="1" si="126"/>
        <v/>
      </c>
      <c r="P119" s="20">
        <f t="shared" ca="1" si="118"/>
        <v>0</v>
      </c>
      <c r="Q119" s="32"/>
      <c r="R119" s="52"/>
      <c r="S119" s="52"/>
      <c r="T119" s="34"/>
      <c r="U119" s="34"/>
      <c r="V119" s="34"/>
      <c r="W119" s="34"/>
    </row>
    <row r="120" spans="1:23" ht="15" hidden="1" outlineLevel="1" x14ac:dyDescent="0.2">
      <c r="A120" s="18"/>
      <c r="B120" s="1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>
        <f t="shared" si="118"/>
        <v>0</v>
      </c>
      <c r="Q120" s="32"/>
      <c r="R120" s="52"/>
      <c r="S120" s="52"/>
      <c r="T120" s="34"/>
      <c r="U120" s="34"/>
      <c r="V120" s="34"/>
      <c r="W120" s="34"/>
    </row>
    <row r="121" spans="1:23" ht="15" hidden="1" outlineLevel="1" x14ac:dyDescent="0.2">
      <c r="A121" s="84"/>
      <c r="B121" s="85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>
        <f t="shared" si="118"/>
        <v>0</v>
      </c>
      <c r="Q121" s="87"/>
      <c r="R121" s="52"/>
      <c r="S121" s="52"/>
      <c r="T121" s="89"/>
      <c r="U121" s="89"/>
      <c r="V121" s="89"/>
      <c r="W121" s="89"/>
    </row>
    <row r="122" spans="1:23" ht="15" x14ac:dyDescent="0.2">
      <c r="A122" s="60"/>
      <c r="B122" s="61" t="s">
        <v>13</v>
      </c>
      <c r="C122" s="90"/>
      <c r="D122" s="91" t="e">
        <f t="shared" ref="D122:O122" ca="1" si="127">D98+D101-D112</f>
        <v>#VALUE!</v>
      </c>
      <c r="E122" s="91" t="e">
        <f t="shared" ca="1" si="127"/>
        <v>#VALUE!</v>
      </c>
      <c r="F122" s="91" t="e">
        <f t="shared" ca="1" si="127"/>
        <v>#VALUE!</v>
      </c>
      <c r="G122" s="91" t="e">
        <f t="shared" ca="1" si="127"/>
        <v>#VALUE!</v>
      </c>
      <c r="H122" s="91" t="e">
        <f t="shared" ca="1" si="127"/>
        <v>#VALUE!</v>
      </c>
      <c r="I122" s="91" t="e">
        <f t="shared" ca="1" si="127"/>
        <v>#VALUE!</v>
      </c>
      <c r="J122" s="91" t="e">
        <f t="shared" ca="1" si="127"/>
        <v>#VALUE!</v>
      </c>
      <c r="K122" s="91" t="e">
        <f t="shared" ca="1" si="127"/>
        <v>#VALUE!</v>
      </c>
      <c r="L122" s="91" t="e">
        <f t="shared" ca="1" si="127"/>
        <v>#VALUE!</v>
      </c>
      <c r="M122" s="91" t="e">
        <f t="shared" ca="1" si="127"/>
        <v>#VALUE!</v>
      </c>
      <c r="N122" s="91" t="e">
        <f t="shared" ca="1" si="127"/>
        <v>#VALUE!</v>
      </c>
      <c r="O122" s="91" t="e">
        <f t="shared" ca="1" si="127"/>
        <v>#VALUE!</v>
      </c>
      <c r="P122" s="91" t="e">
        <f ca="1">SUM(G122:O122)</f>
        <v>#VALUE!</v>
      </c>
      <c r="Q122" s="92" t="e">
        <f ca="1">SUM(G122:P122)</f>
        <v>#VALUE!</v>
      </c>
      <c r="R122" s="52"/>
      <c r="S122" s="52"/>
      <c r="T122" s="126"/>
      <c r="U122" s="89"/>
      <c r="V122" s="89"/>
      <c r="W122" s="89"/>
    </row>
    <row r="123" spans="1:23" ht="15" x14ac:dyDescent="0.15">
      <c r="A123" s="66"/>
      <c r="B123" s="67" t="s">
        <v>41</v>
      </c>
      <c r="C123" s="127"/>
      <c r="D123" s="127" t="str">
        <f t="shared" ref="D123:P123" ca="1" si="128">IFERROR(D122/D$4,"")</f>
        <v/>
      </c>
      <c r="E123" s="127" t="str">
        <f t="shared" ca="1" si="128"/>
        <v/>
      </c>
      <c r="F123" s="127" t="str">
        <f t="shared" ca="1" si="128"/>
        <v/>
      </c>
      <c r="G123" s="127" t="str">
        <f t="shared" ca="1" si="128"/>
        <v/>
      </c>
      <c r="H123" s="127" t="str">
        <f t="shared" ca="1" si="128"/>
        <v/>
      </c>
      <c r="I123" s="127" t="str">
        <f t="shared" ca="1" si="128"/>
        <v/>
      </c>
      <c r="J123" s="127" t="str">
        <f t="shared" ca="1" si="128"/>
        <v/>
      </c>
      <c r="K123" s="127" t="str">
        <f t="shared" ca="1" si="128"/>
        <v/>
      </c>
      <c r="L123" s="127" t="str">
        <f t="shared" ca="1" si="128"/>
        <v/>
      </c>
      <c r="M123" s="127" t="str">
        <f t="shared" ca="1" si="128"/>
        <v/>
      </c>
      <c r="N123" s="127" t="str">
        <f t="shared" ca="1" si="128"/>
        <v/>
      </c>
      <c r="O123" s="127" t="str">
        <f t="shared" ca="1" si="128"/>
        <v/>
      </c>
      <c r="P123" s="128" t="str">
        <f t="shared" ca="1" si="128"/>
        <v/>
      </c>
      <c r="Q123" s="95"/>
      <c r="R123" s="129"/>
      <c r="S123" s="129"/>
      <c r="T123" s="120"/>
      <c r="U123" s="120"/>
      <c r="V123" s="120"/>
      <c r="W123" s="120"/>
    </row>
    <row r="124" spans="1:23" ht="5.25" customHeight="1" x14ac:dyDescent="0.15">
      <c r="A124" s="130"/>
      <c r="B124" s="131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3"/>
      <c r="Q124" s="134"/>
      <c r="R124" s="135"/>
      <c r="S124" s="136"/>
      <c r="T124" s="135"/>
      <c r="U124" s="135"/>
      <c r="V124" s="135"/>
      <c r="W124" s="135"/>
    </row>
    <row r="125" spans="1:23" ht="15" collapsed="1" x14ac:dyDescent="0.2">
      <c r="A125" s="3"/>
      <c r="B125" s="7" t="s">
        <v>42</v>
      </c>
      <c r="C125" s="132"/>
      <c r="D125" s="137" t="e">
        <f ca="1">D122</f>
        <v>#VALUE!</v>
      </c>
      <c r="E125" s="137" t="e">
        <f t="shared" ref="E125:O125" ca="1" si="129">D125+E122</f>
        <v>#VALUE!</v>
      </c>
      <c r="F125" s="137" t="e">
        <f t="shared" ca="1" si="129"/>
        <v>#VALUE!</v>
      </c>
      <c r="G125" s="137" t="e">
        <f t="shared" ca="1" si="129"/>
        <v>#VALUE!</v>
      </c>
      <c r="H125" s="137" t="e">
        <f t="shared" ca="1" si="129"/>
        <v>#VALUE!</v>
      </c>
      <c r="I125" s="137" t="e">
        <f t="shared" ca="1" si="129"/>
        <v>#VALUE!</v>
      </c>
      <c r="J125" s="137" t="e">
        <f t="shared" ca="1" si="129"/>
        <v>#VALUE!</v>
      </c>
      <c r="K125" s="137" t="e">
        <f t="shared" ca="1" si="129"/>
        <v>#VALUE!</v>
      </c>
      <c r="L125" s="137" t="e">
        <f t="shared" ca="1" si="129"/>
        <v>#VALUE!</v>
      </c>
      <c r="M125" s="137" t="e">
        <f t="shared" ca="1" si="129"/>
        <v>#VALUE!</v>
      </c>
      <c r="N125" s="137" t="e">
        <f t="shared" ca="1" si="129"/>
        <v>#VALUE!</v>
      </c>
      <c r="O125" s="137" t="e">
        <f t="shared" ca="1" si="129"/>
        <v>#VALUE!</v>
      </c>
      <c r="P125" s="137" t="e">
        <f ca="1">O125</f>
        <v>#VALUE!</v>
      </c>
      <c r="Q125" s="134"/>
      <c r="R125" s="138"/>
      <c r="S125" s="139"/>
      <c r="T125" s="138"/>
      <c r="U125" s="138"/>
      <c r="V125" s="138"/>
      <c r="W125" s="138"/>
    </row>
    <row r="126" spans="1:23" ht="6" hidden="1" customHeight="1" outlineLevel="1" x14ac:dyDescent="0.2">
      <c r="A126" s="3"/>
      <c r="B126" s="2"/>
      <c r="C126" s="140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2"/>
      <c r="R126" s="135"/>
      <c r="S126" s="136"/>
      <c r="T126" s="135"/>
      <c r="U126" s="135"/>
      <c r="V126" s="135"/>
      <c r="W126" s="135"/>
    </row>
    <row r="127" spans="1:23" ht="15" hidden="1" outlineLevel="1" x14ac:dyDescent="0.2">
      <c r="A127" s="5"/>
      <c r="B127" s="6" t="s">
        <v>16</v>
      </c>
      <c r="C127" s="143"/>
      <c r="D127" s="144" t="e">
        <f t="shared" ref="D127:O127" ca="1" si="130">SUM(D128:D130)</f>
        <v>#VALUE!</v>
      </c>
      <c r="E127" s="144" t="e">
        <f t="shared" ca="1" si="130"/>
        <v>#VALUE!</v>
      </c>
      <c r="F127" s="144" t="e">
        <f t="shared" ca="1" si="130"/>
        <v>#VALUE!</v>
      </c>
      <c r="G127" s="144" t="e">
        <f t="shared" ca="1" si="130"/>
        <v>#VALUE!</v>
      </c>
      <c r="H127" s="144" t="e">
        <f t="shared" ca="1" si="130"/>
        <v>#VALUE!</v>
      </c>
      <c r="I127" s="144" t="e">
        <f t="shared" ca="1" si="130"/>
        <v>#VALUE!</v>
      </c>
      <c r="J127" s="144" t="e">
        <f t="shared" ca="1" si="130"/>
        <v>#VALUE!</v>
      </c>
      <c r="K127" s="144" t="e">
        <f t="shared" ca="1" si="130"/>
        <v>#VALUE!</v>
      </c>
      <c r="L127" s="144" t="e">
        <f t="shared" ca="1" si="130"/>
        <v>#VALUE!</v>
      </c>
      <c r="M127" s="144" t="e">
        <f t="shared" ca="1" si="130"/>
        <v>#VALUE!</v>
      </c>
      <c r="N127" s="144" t="e">
        <f t="shared" ca="1" si="130"/>
        <v>#VALUE!</v>
      </c>
      <c r="O127" s="144" t="e">
        <f t="shared" ca="1" si="130"/>
        <v>#VALUE!</v>
      </c>
      <c r="P127" s="144" t="e">
        <f t="shared" ref="P127:P130" ca="1" si="131">SUM(D127:O127)</f>
        <v>#VALUE!</v>
      </c>
      <c r="Q127" s="145">
        <v>1</v>
      </c>
      <c r="R127" s="136"/>
      <c r="S127" s="136"/>
      <c r="T127" s="135"/>
      <c r="U127" s="135"/>
      <c r="V127" s="135"/>
      <c r="W127" s="135"/>
    </row>
    <row r="128" spans="1:23" ht="15" hidden="1" outlineLevel="1" x14ac:dyDescent="0.2">
      <c r="A128" s="130"/>
      <c r="B128" s="8" t="s">
        <v>43</v>
      </c>
      <c r="C128" s="140"/>
      <c r="D128" s="137">
        <v>0</v>
      </c>
      <c r="E128" s="137" t="e">
        <f t="shared" ref="E128:O128" ca="1" si="132">E$125-SUM(E129:E131)-D$125</f>
        <v>#VALUE!</v>
      </c>
      <c r="F128" s="137" t="e">
        <f t="shared" ca="1" si="132"/>
        <v>#VALUE!</v>
      </c>
      <c r="G128" s="137" t="e">
        <f t="shared" ca="1" si="132"/>
        <v>#VALUE!</v>
      </c>
      <c r="H128" s="137" t="e">
        <f t="shared" ca="1" si="132"/>
        <v>#VALUE!</v>
      </c>
      <c r="I128" s="137" t="e">
        <f t="shared" ca="1" si="132"/>
        <v>#VALUE!</v>
      </c>
      <c r="J128" s="137" t="e">
        <f t="shared" ca="1" si="132"/>
        <v>#VALUE!</v>
      </c>
      <c r="K128" s="137" t="e">
        <f t="shared" ca="1" si="132"/>
        <v>#VALUE!</v>
      </c>
      <c r="L128" s="137" t="e">
        <f t="shared" ca="1" si="132"/>
        <v>#VALUE!</v>
      </c>
      <c r="M128" s="137" t="e">
        <f t="shared" ca="1" si="132"/>
        <v>#VALUE!</v>
      </c>
      <c r="N128" s="137" t="e">
        <f t="shared" ca="1" si="132"/>
        <v>#VALUE!</v>
      </c>
      <c r="O128" s="137" t="e">
        <f t="shared" ca="1" si="132"/>
        <v>#VALUE!</v>
      </c>
      <c r="P128" s="146" t="e">
        <f t="shared" ca="1" si="131"/>
        <v>#VALUE!</v>
      </c>
      <c r="Q128" s="147" t="e">
        <f ca="1">P128/P127</f>
        <v>#VALUE!</v>
      </c>
      <c r="R128" s="136"/>
      <c r="S128" s="136"/>
      <c r="T128" s="135"/>
      <c r="U128" s="135"/>
      <c r="V128" s="135"/>
      <c r="W128" s="135"/>
    </row>
    <row r="129" spans="1:23" ht="15" hidden="1" outlineLevel="1" x14ac:dyDescent="0.2">
      <c r="A129" s="130"/>
      <c r="B129" s="8" t="s">
        <v>17</v>
      </c>
      <c r="C129" s="148">
        <f>147057+435902</f>
        <v>582959</v>
      </c>
      <c r="D129" s="137" t="e">
        <f t="shared" ref="D129:N129" ca="1" si="133">IF(D$122&gt;0, IF(D$122*0.25+C141-D134&lt;=15000000,D$122*0.25,15000000-C141-D134),0)</f>
        <v>#VALUE!</v>
      </c>
      <c r="E129" s="137" t="e">
        <f t="shared" ca="1" si="133"/>
        <v>#VALUE!</v>
      </c>
      <c r="F129" s="137" t="e">
        <f t="shared" ca="1" si="133"/>
        <v>#VALUE!</v>
      </c>
      <c r="G129" s="137" t="e">
        <f t="shared" ca="1" si="133"/>
        <v>#VALUE!</v>
      </c>
      <c r="H129" s="137" t="e">
        <f t="shared" ca="1" si="133"/>
        <v>#VALUE!</v>
      </c>
      <c r="I129" s="137" t="e">
        <f t="shared" ca="1" si="133"/>
        <v>#VALUE!</v>
      </c>
      <c r="J129" s="137" t="e">
        <f t="shared" ca="1" si="133"/>
        <v>#VALUE!</v>
      </c>
      <c r="K129" s="137" t="e">
        <f t="shared" ca="1" si="133"/>
        <v>#VALUE!</v>
      </c>
      <c r="L129" s="137" t="e">
        <f t="shared" ca="1" si="133"/>
        <v>#VALUE!</v>
      </c>
      <c r="M129" s="137" t="e">
        <f t="shared" ca="1" si="133"/>
        <v>#VALUE!</v>
      </c>
      <c r="N129" s="137" t="e">
        <f t="shared" ca="1" si="133"/>
        <v>#VALUE!</v>
      </c>
      <c r="O129" s="137" t="e">
        <f ca="1">IF(O$122&gt;0, IF(O$122*0.25+N141+O134&lt;=15000000,O$122*0.25,15000000-N141+O134),0)</f>
        <v>#VALUE!</v>
      </c>
      <c r="P129" s="137" t="e">
        <f t="shared" ca="1" si="131"/>
        <v>#VALUE!</v>
      </c>
      <c r="Q129" s="147" t="e">
        <f ca="1">P129/P127</f>
        <v>#VALUE!</v>
      </c>
      <c r="R129" s="136"/>
      <c r="S129" s="136"/>
      <c r="T129" s="135"/>
      <c r="U129" s="135"/>
      <c r="V129" s="135"/>
      <c r="W129" s="135"/>
    </row>
    <row r="130" spans="1:23" ht="15" hidden="1" outlineLevel="1" x14ac:dyDescent="0.2">
      <c r="A130" s="130"/>
      <c r="B130" s="8" t="s">
        <v>44</v>
      </c>
      <c r="C130" s="148">
        <v>127677</v>
      </c>
      <c r="D130" s="137" t="e">
        <f t="shared" ref="D130:O130" ca="1" si="134">IF(D$122&gt;0, IF(D$122*0.05+C142+D135&lt;=2000000,D$122*0.05,2000000-C142+D135),0)</f>
        <v>#VALUE!</v>
      </c>
      <c r="E130" s="137" t="e">
        <f t="shared" ca="1" si="134"/>
        <v>#VALUE!</v>
      </c>
      <c r="F130" s="137" t="e">
        <f t="shared" ca="1" si="134"/>
        <v>#VALUE!</v>
      </c>
      <c r="G130" s="137" t="e">
        <f t="shared" ca="1" si="134"/>
        <v>#VALUE!</v>
      </c>
      <c r="H130" s="137" t="e">
        <f t="shared" ca="1" si="134"/>
        <v>#VALUE!</v>
      </c>
      <c r="I130" s="137" t="e">
        <f t="shared" ca="1" si="134"/>
        <v>#VALUE!</v>
      </c>
      <c r="J130" s="137" t="e">
        <f t="shared" ca="1" si="134"/>
        <v>#VALUE!</v>
      </c>
      <c r="K130" s="137" t="e">
        <f t="shared" ca="1" si="134"/>
        <v>#VALUE!</v>
      </c>
      <c r="L130" s="137" t="e">
        <f t="shared" ca="1" si="134"/>
        <v>#VALUE!</v>
      </c>
      <c r="M130" s="137" t="e">
        <f t="shared" ca="1" si="134"/>
        <v>#VALUE!</v>
      </c>
      <c r="N130" s="137" t="e">
        <f t="shared" ca="1" si="134"/>
        <v>#VALUE!</v>
      </c>
      <c r="O130" s="137" t="e">
        <f t="shared" ca="1" si="134"/>
        <v>#VALUE!</v>
      </c>
      <c r="P130" s="137" t="e">
        <f t="shared" ca="1" si="131"/>
        <v>#VALUE!</v>
      </c>
      <c r="Q130" s="147" t="e">
        <f ca="1">P130/P127</f>
        <v>#VALUE!</v>
      </c>
      <c r="R130" s="136"/>
      <c r="S130" s="136"/>
      <c r="T130" s="135"/>
      <c r="U130" s="135"/>
      <c r="V130" s="135"/>
      <c r="W130" s="135"/>
    </row>
    <row r="131" spans="1:23" ht="7.5" hidden="1" customHeight="1" outlineLevel="1" x14ac:dyDescent="0.15">
      <c r="A131" s="2"/>
      <c r="B131" s="2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9"/>
      <c r="Q131" s="142"/>
      <c r="R131" s="142"/>
      <c r="S131" s="142"/>
      <c r="T131" s="142"/>
      <c r="U131" s="142"/>
      <c r="V131" s="142"/>
      <c r="W131" s="142"/>
    </row>
    <row r="132" spans="1:23" ht="14" hidden="1" outlineLevel="1" x14ac:dyDescent="0.2">
      <c r="A132" s="150"/>
      <c r="B132" s="151" t="s">
        <v>45</v>
      </c>
      <c r="C132" s="152"/>
      <c r="D132" s="152">
        <f t="shared" ref="D132:O132" si="135">SUM(D133:D135)</f>
        <v>-435902</v>
      </c>
      <c r="E132" s="152" t="e">
        <f t="shared" ca="1" si="135"/>
        <v>#VALUE!</v>
      </c>
      <c r="F132" s="152" t="e">
        <f t="shared" ca="1" si="135"/>
        <v>#VALUE!</v>
      </c>
      <c r="G132" s="152" t="e">
        <f t="shared" ca="1" si="135"/>
        <v>#VALUE!</v>
      </c>
      <c r="H132" s="152" t="e">
        <f t="shared" ca="1" si="135"/>
        <v>#VALUE!</v>
      </c>
      <c r="I132" s="152" t="e">
        <f t="shared" ca="1" si="135"/>
        <v>#VALUE!</v>
      </c>
      <c r="J132" s="152" t="e">
        <f t="shared" ca="1" si="135"/>
        <v>#VALUE!</v>
      </c>
      <c r="K132" s="152" t="e">
        <f t="shared" ca="1" si="135"/>
        <v>#VALUE!</v>
      </c>
      <c r="L132" s="152" t="e">
        <f t="shared" ca="1" si="135"/>
        <v>#VALUE!</v>
      </c>
      <c r="M132" s="152" t="e">
        <f t="shared" ca="1" si="135"/>
        <v>#VALUE!</v>
      </c>
      <c r="N132" s="152" t="e">
        <f t="shared" ca="1" si="135"/>
        <v>#VALUE!</v>
      </c>
      <c r="O132" s="152" t="e">
        <f t="shared" ca="1" si="135"/>
        <v>#VALUE!</v>
      </c>
      <c r="P132" s="144" t="e">
        <f t="shared" ref="P132:P133" ca="1" si="136">SUM(D132:O132)</f>
        <v>#VALUE!</v>
      </c>
      <c r="Q132" s="153"/>
      <c r="R132" s="154"/>
      <c r="S132" s="154"/>
      <c r="T132" s="154"/>
      <c r="U132" s="154"/>
      <c r="V132" s="154"/>
      <c r="W132" s="154"/>
    </row>
    <row r="133" spans="1:23" ht="15" hidden="1" outlineLevel="1" x14ac:dyDescent="0.15">
      <c r="A133" s="2"/>
      <c r="B133" s="8" t="s">
        <v>46</v>
      </c>
      <c r="C133" s="148"/>
      <c r="D133" s="148">
        <v>0</v>
      </c>
      <c r="E133" s="148" t="e">
        <f t="shared" ref="E133:O133" ca="1" si="137">-E128</f>
        <v>#VALUE!</v>
      </c>
      <c r="F133" s="148" t="e">
        <f t="shared" ca="1" si="137"/>
        <v>#VALUE!</v>
      </c>
      <c r="G133" s="148" t="e">
        <f t="shared" ca="1" si="137"/>
        <v>#VALUE!</v>
      </c>
      <c r="H133" s="148" t="e">
        <f t="shared" ca="1" si="137"/>
        <v>#VALUE!</v>
      </c>
      <c r="I133" s="148" t="e">
        <f t="shared" ca="1" si="137"/>
        <v>#VALUE!</v>
      </c>
      <c r="J133" s="148" t="e">
        <f t="shared" ca="1" si="137"/>
        <v>#VALUE!</v>
      </c>
      <c r="K133" s="148" t="e">
        <f t="shared" ca="1" si="137"/>
        <v>#VALUE!</v>
      </c>
      <c r="L133" s="148" t="e">
        <f t="shared" ca="1" si="137"/>
        <v>#VALUE!</v>
      </c>
      <c r="M133" s="148" t="e">
        <f t="shared" ca="1" si="137"/>
        <v>#VALUE!</v>
      </c>
      <c r="N133" s="148" t="e">
        <f t="shared" ca="1" si="137"/>
        <v>#VALUE!</v>
      </c>
      <c r="O133" s="148" t="e">
        <f t="shared" ca="1" si="137"/>
        <v>#VALUE!</v>
      </c>
      <c r="P133" s="148" t="e">
        <f t="shared" ca="1" si="136"/>
        <v>#VALUE!</v>
      </c>
      <c r="Q133" s="155"/>
      <c r="R133" s="142"/>
      <c r="S133" s="142"/>
      <c r="T133" s="142"/>
      <c r="U133" s="142"/>
      <c r="V133" s="142"/>
      <c r="W133" s="142"/>
    </row>
    <row r="134" spans="1:23" ht="15" hidden="1" outlineLevel="1" x14ac:dyDescent="0.15">
      <c r="A134" s="2"/>
      <c r="B134" s="8" t="s">
        <v>47</v>
      </c>
      <c r="C134" s="148"/>
      <c r="D134" s="148">
        <v>-435902</v>
      </c>
      <c r="E134" s="148">
        <v>0</v>
      </c>
      <c r="F134" s="148">
        <v>0</v>
      </c>
      <c r="G134" s="148"/>
      <c r="H134" s="148"/>
      <c r="I134" s="148"/>
      <c r="J134" s="148"/>
      <c r="K134" s="148"/>
      <c r="L134" s="148"/>
      <c r="M134" s="148">
        <v>0</v>
      </c>
      <c r="N134" s="148"/>
      <c r="O134" s="148">
        <f>-1250000-547975</f>
        <v>-1797975</v>
      </c>
      <c r="P134" s="148"/>
      <c r="Q134" s="155"/>
      <c r="R134" s="142"/>
      <c r="S134" s="142"/>
      <c r="T134" s="142"/>
      <c r="U134" s="142"/>
      <c r="V134" s="142"/>
      <c r="W134" s="142"/>
    </row>
    <row r="135" spans="1:23" ht="15" hidden="1" outlineLevel="1" x14ac:dyDescent="0.15">
      <c r="A135" s="2"/>
      <c r="B135" s="8" t="s">
        <v>48</v>
      </c>
      <c r="C135" s="148"/>
      <c r="D135" s="148">
        <v>0</v>
      </c>
      <c r="E135" s="148">
        <v>0</v>
      </c>
      <c r="F135" s="148">
        <v>0</v>
      </c>
      <c r="G135" s="148">
        <v>-747500</v>
      </c>
      <c r="H135" s="148"/>
      <c r="I135" s="148"/>
      <c r="J135" s="148"/>
      <c r="K135" s="148"/>
      <c r="L135" s="148">
        <v>-2200000</v>
      </c>
      <c r="M135" s="148">
        <v>0</v>
      </c>
      <c r="N135" s="148"/>
      <c r="O135" s="148"/>
      <c r="P135" s="148"/>
      <c r="Q135" s="155"/>
      <c r="R135" s="142"/>
      <c r="S135" s="142"/>
      <c r="T135" s="142"/>
      <c r="U135" s="142"/>
      <c r="V135" s="142"/>
      <c r="W135" s="142"/>
    </row>
    <row r="136" spans="1:23" ht="7.5" hidden="1" customHeight="1" outlineLevel="1" x14ac:dyDescent="0.15">
      <c r="A136" s="2"/>
      <c r="B136" s="2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9"/>
      <c r="Q136" s="142"/>
      <c r="R136" s="142"/>
      <c r="S136" s="142"/>
      <c r="T136" s="142"/>
      <c r="U136" s="142"/>
      <c r="V136" s="142"/>
      <c r="W136" s="142"/>
    </row>
    <row r="137" spans="1:23" ht="15" hidden="1" outlineLevel="1" x14ac:dyDescent="0.15">
      <c r="A137" s="150"/>
      <c r="B137" s="6" t="s">
        <v>49</v>
      </c>
      <c r="C137" s="152">
        <f>274734+435902</f>
        <v>710636</v>
      </c>
      <c r="D137" s="152">
        <f>C137+D132</f>
        <v>274734</v>
      </c>
      <c r="E137" s="152" t="e">
        <f t="shared" ref="E137:O137" ca="1" si="138">D137+E122+E132</f>
        <v>#VALUE!</v>
      </c>
      <c r="F137" s="152" t="e">
        <f t="shared" ca="1" si="138"/>
        <v>#VALUE!</v>
      </c>
      <c r="G137" s="152" t="e">
        <f t="shared" ca="1" si="138"/>
        <v>#VALUE!</v>
      </c>
      <c r="H137" s="152" t="e">
        <f t="shared" ca="1" si="138"/>
        <v>#VALUE!</v>
      </c>
      <c r="I137" s="152" t="e">
        <f t="shared" ca="1" si="138"/>
        <v>#VALUE!</v>
      </c>
      <c r="J137" s="152" t="e">
        <f t="shared" ca="1" si="138"/>
        <v>#VALUE!</v>
      </c>
      <c r="K137" s="152" t="e">
        <f t="shared" ca="1" si="138"/>
        <v>#VALUE!</v>
      </c>
      <c r="L137" s="152" t="e">
        <f t="shared" ca="1" si="138"/>
        <v>#VALUE!</v>
      </c>
      <c r="M137" s="152" t="e">
        <f t="shared" ca="1" si="138"/>
        <v>#VALUE!</v>
      </c>
      <c r="N137" s="152" t="e">
        <f t="shared" ca="1" si="138"/>
        <v>#VALUE!</v>
      </c>
      <c r="O137" s="152" t="e">
        <f t="shared" ca="1" si="138"/>
        <v>#VALUE!</v>
      </c>
      <c r="P137" s="143"/>
      <c r="Q137" s="154"/>
      <c r="R137" s="154"/>
      <c r="S137" s="154"/>
      <c r="T137" s="154"/>
      <c r="U137" s="154"/>
      <c r="V137" s="154"/>
      <c r="W137" s="154"/>
    </row>
    <row r="138" spans="1:23" ht="5.25" customHeight="1" x14ac:dyDescent="0.15">
      <c r="A138" s="2"/>
      <c r="B138" s="2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9"/>
      <c r="Q138" s="142"/>
      <c r="R138" s="142"/>
      <c r="S138" s="142"/>
      <c r="T138" s="142"/>
      <c r="U138" s="142"/>
      <c r="V138" s="142"/>
      <c r="W138" s="142"/>
    </row>
    <row r="139" spans="1:23" ht="15" x14ac:dyDescent="0.15">
      <c r="A139" s="150"/>
      <c r="B139" s="6" t="s">
        <v>50</v>
      </c>
      <c r="C139" s="152">
        <f t="shared" ref="C139:F139" si="139">SUM(C140:C142)</f>
        <v>710636</v>
      </c>
      <c r="D139" s="152" t="e">
        <f t="shared" ca="1" si="139"/>
        <v>#VALUE!</v>
      </c>
      <c r="E139" s="152" t="e">
        <f t="shared" ca="1" si="139"/>
        <v>#VALUE!</v>
      </c>
      <c r="F139" s="152" t="e">
        <f t="shared" ca="1" si="139"/>
        <v>#VALUE!</v>
      </c>
      <c r="G139" s="152" t="e">
        <f t="shared" ref="G139:O139" ca="1" si="140">SUM(G140:G143)</f>
        <v>#VALUE!</v>
      </c>
      <c r="H139" s="152" t="e">
        <f t="shared" ca="1" si="140"/>
        <v>#VALUE!</v>
      </c>
      <c r="I139" s="152" t="e">
        <f t="shared" ca="1" si="140"/>
        <v>#VALUE!</v>
      </c>
      <c r="J139" s="152" t="e">
        <f t="shared" ca="1" si="140"/>
        <v>#VALUE!</v>
      </c>
      <c r="K139" s="152" t="e">
        <f t="shared" ca="1" si="140"/>
        <v>#VALUE!</v>
      </c>
      <c r="L139" s="152" t="e">
        <f t="shared" ca="1" si="140"/>
        <v>#VALUE!</v>
      </c>
      <c r="M139" s="152" t="e">
        <f t="shared" ca="1" si="140"/>
        <v>#VALUE!</v>
      </c>
      <c r="N139" s="152" t="e">
        <f t="shared" ca="1" si="140"/>
        <v>#VALUE!</v>
      </c>
      <c r="O139" s="156" t="e">
        <f t="shared" ca="1" si="140"/>
        <v>#VALUE!</v>
      </c>
      <c r="P139" s="157"/>
      <c r="Q139" s="135"/>
      <c r="R139" s="135"/>
      <c r="S139" s="154"/>
      <c r="T139" s="154"/>
      <c r="U139" s="154"/>
      <c r="V139" s="154"/>
      <c r="W139" s="154"/>
    </row>
    <row r="140" spans="1:23" ht="14" x14ac:dyDescent="0.15">
      <c r="A140" s="2"/>
      <c r="B140" s="158" t="s">
        <v>51</v>
      </c>
      <c r="C140" s="148"/>
      <c r="D140" s="148">
        <f t="shared" ref="D140:D142" si="141">SUM($B128:D128)+SUM($B133:D133)</f>
        <v>0</v>
      </c>
      <c r="E140" s="148" t="e">
        <f t="shared" ref="E140:O140" ca="1" si="142">SUM($C128:E128)+SUM($C133:E133)</f>
        <v>#VALUE!</v>
      </c>
      <c r="F140" s="148" t="e">
        <f t="shared" ca="1" si="142"/>
        <v>#VALUE!</v>
      </c>
      <c r="G140" s="148" t="e">
        <f t="shared" ca="1" si="142"/>
        <v>#VALUE!</v>
      </c>
      <c r="H140" s="148" t="e">
        <f t="shared" ca="1" si="142"/>
        <v>#VALUE!</v>
      </c>
      <c r="I140" s="148" t="e">
        <f t="shared" ca="1" si="142"/>
        <v>#VALUE!</v>
      </c>
      <c r="J140" s="148" t="e">
        <f t="shared" ca="1" si="142"/>
        <v>#VALUE!</v>
      </c>
      <c r="K140" s="148" t="e">
        <f t="shared" ca="1" si="142"/>
        <v>#VALUE!</v>
      </c>
      <c r="L140" s="148" t="e">
        <f t="shared" ca="1" si="142"/>
        <v>#VALUE!</v>
      </c>
      <c r="M140" s="148" t="e">
        <f t="shared" ca="1" si="142"/>
        <v>#VALUE!</v>
      </c>
      <c r="N140" s="148" t="e">
        <f t="shared" ca="1" si="142"/>
        <v>#VALUE!</v>
      </c>
      <c r="O140" s="148" t="e">
        <f t="shared" ca="1" si="142"/>
        <v>#VALUE!</v>
      </c>
      <c r="P140" s="140"/>
      <c r="Q140" s="142"/>
      <c r="R140" s="142"/>
      <c r="S140" s="142"/>
      <c r="T140" s="142"/>
      <c r="U140" s="142"/>
      <c r="V140" s="142"/>
      <c r="W140" s="142"/>
    </row>
    <row r="141" spans="1:23" ht="14" x14ac:dyDescent="0.15">
      <c r="A141" s="2"/>
      <c r="B141" s="158" t="s">
        <v>52</v>
      </c>
      <c r="C141" s="148">
        <f>147057+435902</f>
        <v>582959</v>
      </c>
      <c r="D141" s="148" t="e">
        <f t="shared" ca="1" si="141"/>
        <v>#VALUE!</v>
      </c>
      <c r="E141" s="148" t="e">
        <f t="shared" ref="E141:O141" ca="1" si="143">SUM($B129:E129)+SUM($B134:E134)</f>
        <v>#VALUE!</v>
      </c>
      <c r="F141" s="148" t="e">
        <f t="shared" ca="1" si="143"/>
        <v>#VALUE!</v>
      </c>
      <c r="G141" s="148" t="e">
        <f t="shared" ca="1" si="143"/>
        <v>#VALUE!</v>
      </c>
      <c r="H141" s="148" t="e">
        <f t="shared" ca="1" si="143"/>
        <v>#VALUE!</v>
      </c>
      <c r="I141" s="148" t="e">
        <f t="shared" ca="1" si="143"/>
        <v>#VALUE!</v>
      </c>
      <c r="J141" s="148" t="e">
        <f t="shared" ca="1" si="143"/>
        <v>#VALUE!</v>
      </c>
      <c r="K141" s="148" t="e">
        <f t="shared" ca="1" si="143"/>
        <v>#VALUE!</v>
      </c>
      <c r="L141" s="148" t="e">
        <f t="shared" ca="1" si="143"/>
        <v>#VALUE!</v>
      </c>
      <c r="M141" s="148" t="e">
        <f t="shared" ca="1" si="143"/>
        <v>#VALUE!</v>
      </c>
      <c r="N141" s="148" t="e">
        <f t="shared" ca="1" si="143"/>
        <v>#VALUE!</v>
      </c>
      <c r="O141" s="148" t="e">
        <f t="shared" ca="1" si="143"/>
        <v>#VALUE!</v>
      </c>
      <c r="P141" s="140"/>
      <c r="Q141" s="142"/>
      <c r="R141" s="142"/>
      <c r="S141" s="142"/>
      <c r="T141" s="142"/>
      <c r="U141" s="142"/>
      <c r="V141" s="142"/>
      <c r="W141" s="142"/>
    </row>
    <row r="142" spans="1:23" ht="14" x14ac:dyDescent="0.15">
      <c r="A142" s="2"/>
      <c r="B142" s="158" t="s">
        <v>53</v>
      </c>
      <c r="C142" s="148">
        <v>127677</v>
      </c>
      <c r="D142" s="148" t="e">
        <f t="shared" ca="1" si="141"/>
        <v>#VALUE!</v>
      </c>
      <c r="E142" s="148" t="e">
        <f t="shared" ref="E142:O142" ca="1" si="144">SUM($B130:E130)+SUM($B135:E135)</f>
        <v>#VALUE!</v>
      </c>
      <c r="F142" s="148" t="e">
        <f t="shared" ca="1" si="144"/>
        <v>#VALUE!</v>
      </c>
      <c r="G142" s="148" t="e">
        <f t="shared" ca="1" si="144"/>
        <v>#VALUE!</v>
      </c>
      <c r="H142" s="148" t="e">
        <f t="shared" ca="1" si="144"/>
        <v>#VALUE!</v>
      </c>
      <c r="I142" s="148" t="e">
        <f t="shared" ca="1" si="144"/>
        <v>#VALUE!</v>
      </c>
      <c r="J142" s="148" t="e">
        <f t="shared" ca="1" si="144"/>
        <v>#VALUE!</v>
      </c>
      <c r="K142" s="148" t="e">
        <f t="shared" ca="1" si="144"/>
        <v>#VALUE!</v>
      </c>
      <c r="L142" s="148" t="e">
        <f t="shared" ca="1" si="144"/>
        <v>#VALUE!</v>
      </c>
      <c r="M142" s="148" t="e">
        <f t="shared" ca="1" si="144"/>
        <v>#VALUE!</v>
      </c>
      <c r="N142" s="148" t="e">
        <f t="shared" ca="1" si="144"/>
        <v>#VALUE!</v>
      </c>
      <c r="O142" s="148" t="e">
        <f t="shared" ca="1" si="144"/>
        <v>#VALUE!</v>
      </c>
      <c r="P142" s="140"/>
      <c r="Q142" s="142"/>
      <c r="R142" s="142"/>
      <c r="S142" s="142"/>
      <c r="T142" s="142"/>
      <c r="U142" s="142"/>
      <c r="V142" s="142"/>
      <c r="W142" s="142"/>
    </row>
    <row r="143" spans="1:23" ht="14" x14ac:dyDescent="0.15">
      <c r="A143" s="131"/>
      <c r="B143" s="131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9"/>
      <c r="Q143" s="140"/>
      <c r="R143" s="140"/>
      <c r="S143" s="140"/>
      <c r="T143" s="140"/>
      <c r="U143" s="140"/>
      <c r="V143" s="140"/>
      <c r="W143" s="140"/>
    </row>
    <row r="144" spans="1:23" ht="14" x14ac:dyDescent="0.15">
      <c r="A144" s="131"/>
      <c r="B144" s="131"/>
      <c r="C144" s="140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40"/>
      <c r="R144" s="140"/>
      <c r="S144" s="140"/>
      <c r="T144" s="140"/>
      <c r="U144" s="140"/>
      <c r="V144" s="140"/>
      <c r="W144" s="140"/>
    </row>
    <row r="145" spans="1:23" ht="14" x14ac:dyDescent="0.15">
      <c r="A145" s="131"/>
      <c r="B145" s="131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</row>
    <row r="146" spans="1:23" ht="14" x14ac:dyDescent="0.15">
      <c r="A146" s="131"/>
      <c r="B146" s="131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</row>
    <row r="147" spans="1:23" ht="14" x14ac:dyDescent="0.15">
      <c r="A147" s="131"/>
      <c r="B147" s="131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</row>
    <row r="148" spans="1:23" ht="14" x14ac:dyDescent="0.15">
      <c r="A148" s="131"/>
      <c r="B148" s="131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</row>
    <row r="149" spans="1:23" ht="14" x14ac:dyDescent="0.15">
      <c r="A149" s="131"/>
      <c r="B149" s="131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</row>
    <row r="150" spans="1:23" ht="14" x14ac:dyDescent="0.15">
      <c r="A150" s="131"/>
      <c r="B150" s="131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</row>
    <row r="151" spans="1:23" ht="14" x14ac:dyDescent="0.15">
      <c r="A151" s="131"/>
      <c r="B151" s="131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</row>
    <row r="152" spans="1:23" ht="14" x14ac:dyDescent="0.15">
      <c r="A152" s="131"/>
      <c r="B152" s="131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</row>
    <row r="153" spans="1:23" ht="14" x14ac:dyDescent="0.15">
      <c r="A153" s="131"/>
      <c r="B153" s="131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</row>
    <row r="154" spans="1:23" ht="14" x14ac:dyDescent="0.15">
      <c r="A154" s="131"/>
      <c r="B154" s="131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</row>
    <row r="155" spans="1:23" ht="14" x14ac:dyDescent="0.15">
      <c r="A155" s="131"/>
      <c r="B155" s="131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</row>
    <row r="156" spans="1:23" ht="14" x14ac:dyDescent="0.15">
      <c r="A156" s="131"/>
      <c r="B156" s="131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</row>
    <row r="157" spans="1:23" ht="14" x14ac:dyDescent="0.15">
      <c r="A157" s="131"/>
      <c r="B157" s="131"/>
      <c r="C157" s="140"/>
      <c r="D157" s="16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</row>
    <row r="158" spans="1:23" ht="14" x14ac:dyDescent="0.15">
      <c r="A158" s="131"/>
      <c r="B158" s="131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</row>
    <row r="159" spans="1:23" ht="14" x14ac:dyDescent="0.15">
      <c r="A159" s="131"/>
      <c r="B159" s="131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</row>
    <row r="160" spans="1:23" ht="14" x14ac:dyDescent="0.15">
      <c r="A160" s="131"/>
      <c r="B160" s="131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</row>
    <row r="161" spans="1:23" ht="14" x14ac:dyDescent="0.15">
      <c r="A161" s="131"/>
      <c r="B161" s="131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</row>
    <row r="162" spans="1:23" ht="14" x14ac:dyDescent="0.15">
      <c r="A162" s="131"/>
      <c r="B162" s="131"/>
      <c r="C162" s="140"/>
      <c r="D162" s="16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</row>
    <row r="163" spans="1:23" ht="14" x14ac:dyDescent="0.15">
      <c r="A163" s="131"/>
      <c r="B163" s="131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</row>
    <row r="164" spans="1:23" ht="14" x14ac:dyDescent="0.15">
      <c r="A164" s="131"/>
      <c r="B164" s="131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</row>
    <row r="165" spans="1:23" ht="14" x14ac:dyDescent="0.15">
      <c r="A165" s="131"/>
      <c r="B165" s="131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</row>
    <row r="166" spans="1:23" ht="14" x14ac:dyDescent="0.15">
      <c r="A166" s="131"/>
      <c r="B166" s="131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</row>
    <row r="167" spans="1:23" ht="14" x14ac:dyDescent="0.15">
      <c r="A167" s="131"/>
      <c r="B167" s="131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33"/>
  <sheetViews>
    <sheetView showGridLines="0" workbookViewId="0"/>
  </sheetViews>
  <sheetFormatPr baseColWidth="10" defaultColWidth="12.6640625" defaultRowHeight="15.75" customHeight="1" x14ac:dyDescent="0.15"/>
  <cols>
    <col min="1" max="1" width="36.1640625" customWidth="1"/>
  </cols>
  <sheetData>
    <row r="1" spans="1:13" ht="15.75" customHeight="1" x14ac:dyDescent="0.15">
      <c r="A1" s="161" t="s">
        <v>55</v>
      </c>
      <c r="B1" s="162" t="s">
        <v>56</v>
      </c>
      <c r="C1" s="162" t="s">
        <v>56</v>
      </c>
      <c r="D1" s="162" t="s">
        <v>56</v>
      </c>
      <c r="E1" s="162" t="s">
        <v>56</v>
      </c>
      <c r="F1" s="162" t="s">
        <v>56</v>
      </c>
      <c r="G1" s="162" t="s">
        <v>56</v>
      </c>
      <c r="H1" s="162" t="s">
        <v>56</v>
      </c>
      <c r="I1" s="162" t="s">
        <v>56</v>
      </c>
      <c r="J1" s="162" t="s">
        <v>56</v>
      </c>
      <c r="K1" s="162" t="s">
        <v>56</v>
      </c>
      <c r="L1" s="162" t="s">
        <v>56</v>
      </c>
      <c r="M1" s="162" t="s">
        <v>56</v>
      </c>
    </row>
    <row r="2" spans="1:13" ht="15.75" customHeight="1" x14ac:dyDescent="0.15">
      <c r="A2" s="161" t="s">
        <v>57</v>
      </c>
      <c r="B2" s="162" t="s">
        <v>58</v>
      </c>
      <c r="C2" s="162" t="s">
        <v>58</v>
      </c>
      <c r="D2" s="162" t="s">
        <v>58</v>
      </c>
      <c r="E2" s="162" t="s">
        <v>58</v>
      </c>
      <c r="F2" s="162" t="s">
        <v>58</v>
      </c>
      <c r="G2" s="162" t="s">
        <v>58</v>
      </c>
      <c r="H2" s="162" t="s">
        <v>58</v>
      </c>
      <c r="I2" s="162" t="s">
        <v>58</v>
      </c>
      <c r="J2" s="162" t="s">
        <v>58</v>
      </c>
      <c r="K2" s="162" t="s">
        <v>58</v>
      </c>
      <c r="L2" s="162" t="s">
        <v>58</v>
      </c>
      <c r="M2" s="162" t="s">
        <v>58</v>
      </c>
    </row>
    <row r="3" spans="1:13" ht="15.75" customHeight="1" x14ac:dyDescent="0.15">
      <c r="A3" s="161" t="s">
        <v>59</v>
      </c>
      <c r="B3" s="162" t="s">
        <v>60</v>
      </c>
      <c r="C3" s="162" t="s">
        <v>61</v>
      </c>
      <c r="D3" s="162" t="s">
        <v>62</v>
      </c>
      <c r="E3" s="162" t="s">
        <v>63</v>
      </c>
      <c r="F3" s="162" t="s">
        <v>64</v>
      </c>
      <c r="G3" s="162" t="s">
        <v>65</v>
      </c>
      <c r="H3" s="162" t="s">
        <v>66</v>
      </c>
      <c r="I3" s="162" t="s">
        <v>67</v>
      </c>
      <c r="J3" s="162" t="s">
        <v>68</v>
      </c>
      <c r="K3" s="162" t="s">
        <v>69</v>
      </c>
      <c r="L3" s="162" t="s">
        <v>70</v>
      </c>
      <c r="M3" s="162" t="s">
        <v>71</v>
      </c>
    </row>
    <row r="4" spans="1:13" ht="15.75" customHeight="1" x14ac:dyDescent="0.15">
      <c r="A4" s="163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</row>
    <row r="5" spans="1:13" ht="15.75" customHeight="1" x14ac:dyDescent="0.15">
      <c r="A5" s="163" t="s">
        <v>54</v>
      </c>
      <c r="B5" s="164">
        <v>1</v>
      </c>
      <c r="C5" s="164">
        <v>2</v>
      </c>
      <c r="D5" s="164">
        <v>3</v>
      </c>
      <c r="E5" s="164">
        <v>4</v>
      </c>
      <c r="F5" s="164">
        <v>5</v>
      </c>
      <c r="G5" s="164">
        <v>6</v>
      </c>
      <c r="H5" s="164">
        <v>7</v>
      </c>
      <c r="I5" s="164">
        <v>8</v>
      </c>
      <c r="J5" s="164">
        <v>9</v>
      </c>
      <c r="K5" s="164">
        <v>10</v>
      </c>
      <c r="L5" s="164">
        <v>11</v>
      </c>
      <c r="M5" s="164">
        <v>12</v>
      </c>
    </row>
    <row r="6" spans="1:13" ht="15.75" customHeight="1" x14ac:dyDescent="0.15">
      <c r="A6" t="e">
        <f t="array" ref="A6:A12">#REF!</f>
        <v>#REF!</v>
      </c>
      <c r="B6" t="str">
        <f t="shared" ref="B6:M6" ca="1" si="0">IFERROR(INDEX(INDIRECT("'"&amp;B$5&amp;"'!"&amp;B$1),MATCH("Выручка",INDIRECT("'"&amp;B$5&amp;"'!"&amp;B$2),0),MATCH($A6,INDIRECT("'"&amp;B$5&amp;"'!"&amp;B$3),0)),"")</f>
        <v/>
      </c>
      <c r="C6" t="str">
        <f t="shared" ca="1" si="0"/>
        <v/>
      </c>
      <c r="D6" t="str">
        <f t="shared" ca="1" si="0"/>
        <v/>
      </c>
      <c r="E6" t="str">
        <f t="shared" ca="1" si="0"/>
        <v/>
      </c>
      <c r="F6" t="str">
        <f t="shared" ca="1" si="0"/>
        <v/>
      </c>
      <c r="G6" t="str">
        <f t="shared" ca="1" si="0"/>
        <v/>
      </c>
      <c r="H6" t="str">
        <f t="shared" ca="1" si="0"/>
        <v/>
      </c>
      <c r="I6" t="str">
        <f t="shared" ca="1" si="0"/>
        <v/>
      </c>
      <c r="J6" t="str">
        <f t="shared" ca="1" si="0"/>
        <v/>
      </c>
      <c r="K6" t="str">
        <f t="shared" ca="1" si="0"/>
        <v/>
      </c>
      <c r="L6" t="str">
        <f t="shared" ca="1" si="0"/>
        <v/>
      </c>
      <c r="M6" t="str">
        <f t="shared" ca="1" si="0"/>
        <v/>
      </c>
    </row>
    <row r="7" spans="1:13" ht="15.75" customHeight="1" x14ac:dyDescent="0.15">
      <c r="A7" t="e">
        <v>#REF!</v>
      </c>
      <c r="B7" t="str">
        <f t="shared" ref="B7:M7" ca="1" si="1">IFERROR(INDEX(INDIRECT("'"&amp;B$5&amp;"'!"&amp;B$1),MATCH("Выручка",INDIRECT("'"&amp;B$5&amp;"'!"&amp;B$2),0),MATCH($A7,INDIRECT("'"&amp;B$5&amp;"'!"&amp;B$3),0)),"")</f>
        <v/>
      </c>
      <c r="C7" t="str">
        <f t="shared" ca="1" si="1"/>
        <v/>
      </c>
      <c r="D7" t="str">
        <f t="shared" ca="1" si="1"/>
        <v/>
      </c>
      <c r="E7" t="str">
        <f t="shared" ca="1" si="1"/>
        <v/>
      </c>
      <c r="F7" t="str">
        <f t="shared" ca="1" si="1"/>
        <v/>
      </c>
      <c r="G7" t="str">
        <f t="shared" ca="1" si="1"/>
        <v/>
      </c>
      <c r="H7" t="str">
        <f t="shared" ca="1" si="1"/>
        <v/>
      </c>
      <c r="I7" t="str">
        <f t="shared" ca="1" si="1"/>
        <v/>
      </c>
      <c r="J7" t="str">
        <f t="shared" ca="1" si="1"/>
        <v/>
      </c>
      <c r="K7" t="str">
        <f t="shared" ca="1" si="1"/>
        <v/>
      </c>
      <c r="L7" t="str">
        <f t="shared" ca="1" si="1"/>
        <v/>
      </c>
      <c r="M7" t="str">
        <f t="shared" ca="1" si="1"/>
        <v/>
      </c>
    </row>
    <row r="8" spans="1:13" ht="15.75" customHeight="1" x14ac:dyDescent="0.15">
      <c r="A8" t="e">
        <v>#REF!</v>
      </c>
      <c r="B8" t="str">
        <f t="shared" ref="B8:M8" ca="1" si="2">IFERROR(INDEX(INDIRECT("'"&amp;B$5&amp;"'!"&amp;B$1),MATCH("Выручка",INDIRECT("'"&amp;B$5&amp;"'!"&amp;B$2),0),MATCH($A8,INDIRECT("'"&amp;B$5&amp;"'!"&amp;B$3),0)),"")</f>
        <v/>
      </c>
      <c r="C8" t="str">
        <f t="shared" ca="1" si="2"/>
        <v/>
      </c>
      <c r="D8" t="str">
        <f t="shared" ca="1" si="2"/>
        <v/>
      </c>
      <c r="E8" t="str">
        <f t="shared" ca="1" si="2"/>
        <v/>
      </c>
      <c r="F8" t="str">
        <f t="shared" ca="1" si="2"/>
        <v/>
      </c>
      <c r="G8" t="str">
        <f t="shared" ca="1" si="2"/>
        <v/>
      </c>
      <c r="H8" t="str">
        <f t="shared" ca="1" si="2"/>
        <v/>
      </c>
      <c r="I8" t="str">
        <f t="shared" ca="1" si="2"/>
        <v/>
      </c>
      <c r="J8" t="str">
        <f t="shared" ca="1" si="2"/>
        <v/>
      </c>
      <c r="K8" t="str">
        <f t="shared" ca="1" si="2"/>
        <v/>
      </c>
      <c r="L8" t="str">
        <f t="shared" ca="1" si="2"/>
        <v/>
      </c>
      <c r="M8" t="str">
        <f t="shared" ca="1" si="2"/>
        <v/>
      </c>
    </row>
    <row r="9" spans="1:13" ht="15.75" customHeight="1" x14ac:dyDescent="0.15">
      <c r="A9" t="e">
        <v>#REF!</v>
      </c>
      <c r="B9" t="str">
        <f t="shared" ref="B9:M9" ca="1" si="3">IFERROR(INDEX(INDIRECT("'"&amp;B$5&amp;"'!"&amp;B$1),MATCH("Выручка",INDIRECT("'"&amp;B$5&amp;"'!"&amp;B$2),0),MATCH($A9,INDIRECT("'"&amp;B$5&amp;"'!"&amp;B$3),0)),"")</f>
        <v/>
      </c>
      <c r="C9" t="str">
        <f t="shared" ca="1" si="3"/>
        <v/>
      </c>
      <c r="D9" t="str">
        <f t="shared" ca="1" si="3"/>
        <v/>
      </c>
      <c r="E9" t="str">
        <f t="shared" ca="1" si="3"/>
        <v/>
      </c>
      <c r="F9" t="str">
        <f t="shared" ca="1" si="3"/>
        <v/>
      </c>
      <c r="G9" t="str">
        <f t="shared" ca="1" si="3"/>
        <v/>
      </c>
      <c r="H9" t="str">
        <f t="shared" ca="1" si="3"/>
        <v/>
      </c>
      <c r="I9" t="str">
        <f t="shared" ca="1" si="3"/>
        <v/>
      </c>
      <c r="J9" t="str">
        <f t="shared" ca="1" si="3"/>
        <v/>
      </c>
      <c r="K9" t="str">
        <f t="shared" ca="1" si="3"/>
        <v/>
      </c>
      <c r="L9" t="str">
        <f t="shared" ca="1" si="3"/>
        <v/>
      </c>
      <c r="M9" t="str">
        <f t="shared" ca="1" si="3"/>
        <v/>
      </c>
    </row>
    <row r="10" spans="1:13" ht="15.75" customHeight="1" x14ac:dyDescent="0.15">
      <c r="A10" t="e">
        <v>#REF!</v>
      </c>
      <c r="B10" t="str">
        <f t="shared" ref="B10:M10" ca="1" si="4">IFERROR(INDEX(INDIRECT("'"&amp;B$5&amp;"'!"&amp;B$1),MATCH("Выручка",INDIRECT("'"&amp;B$5&amp;"'!"&amp;B$2),0),MATCH($A10,INDIRECT("'"&amp;B$5&amp;"'!"&amp;B$3),0)),"")</f>
        <v/>
      </c>
      <c r="C10" t="str">
        <f t="shared" ca="1" si="4"/>
        <v/>
      </c>
      <c r="D10" t="str">
        <f t="shared" ca="1" si="4"/>
        <v/>
      </c>
      <c r="E10" t="str">
        <f t="shared" ca="1" si="4"/>
        <v/>
      </c>
      <c r="F10" t="str">
        <f t="shared" ca="1" si="4"/>
        <v/>
      </c>
      <c r="G10" t="str">
        <f t="shared" ca="1" si="4"/>
        <v/>
      </c>
      <c r="H10" t="str">
        <f t="shared" ca="1" si="4"/>
        <v/>
      </c>
      <c r="I10" t="str">
        <f t="shared" ca="1" si="4"/>
        <v/>
      </c>
      <c r="J10" t="str">
        <f t="shared" ca="1" si="4"/>
        <v/>
      </c>
      <c r="K10" t="str">
        <f t="shared" ca="1" si="4"/>
        <v/>
      </c>
      <c r="L10" t="str">
        <f t="shared" ca="1" si="4"/>
        <v/>
      </c>
      <c r="M10" t="str">
        <f t="shared" ca="1" si="4"/>
        <v/>
      </c>
    </row>
    <row r="11" spans="1:13" ht="15.75" customHeight="1" x14ac:dyDescent="0.15">
      <c r="A11" t="e">
        <v>#REF!</v>
      </c>
      <c r="B11" t="str">
        <f t="shared" ref="B11:M11" ca="1" si="5">IFERROR(INDEX(INDIRECT("'"&amp;B$5&amp;"'!"&amp;B$1),MATCH("Выручка",INDIRECT("'"&amp;B$5&amp;"'!"&amp;B$2),0),MATCH($A11,INDIRECT("'"&amp;B$5&amp;"'!"&amp;B$3),0)),"")</f>
        <v/>
      </c>
      <c r="C11" t="str">
        <f t="shared" ca="1" si="5"/>
        <v/>
      </c>
      <c r="D11" t="str">
        <f t="shared" ca="1" si="5"/>
        <v/>
      </c>
      <c r="E11" t="str">
        <f t="shared" ca="1" si="5"/>
        <v/>
      </c>
      <c r="F11" t="str">
        <f t="shared" ca="1" si="5"/>
        <v/>
      </c>
      <c r="G11" t="str">
        <f t="shared" ca="1" si="5"/>
        <v/>
      </c>
      <c r="H11" t="str">
        <f t="shared" ca="1" si="5"/>
        <v/>
      </c>
      <c r="I11" t="str">
        <f t="shared" ca="1" si="5"/>
        <v/>
      </c>
      <c r="J11" t="str">
        <f t="shared" ca="1" si="5"/>
        <v/>
      </c>
      <c r="K11" t="str">
        <f t="shared" ca="1" si="5"/>
        <v/>
      </c>
      <c r="L11" t="str">
        <f t="shared" ca="1" si="5"/>
        <v/>
      </c>
      <c r="M11" t="str">
        <f t="shared" ca="1" si="5"/>
        <v/>
      </c>
    </row>
    <row r="12" spans="1:13" ht="15.75" customHeight="1" x14ac:dyDescent="0.15">
      <c r="A12" t="e">
        <v>#REF!</v>
      </c>
    </row>
    <row r="16" spans="1:13" ht="15.75" customHeight="1" x14ac:dyDescent="0.15">
      <c r="A16" s="163" t="s">
        <v>8</v>
      </c>
    </row>
    <row r="17" spans="1:13" ht="15.75" customHeight="1" x14ac:dyDescent="0.15">
      <c r="A17" t="e">
        <f t="array" ref="A17:A23">#REF!</f>
        <v>#REF!</v>
      </c>
      <c r="B17" t="str">
        <f t="shared" ref="B17:M17" ca="1" si="6">IFERROR(INDEX(INDIRECT("'"&amp;B$5&amp;"'!"&amp;B$1),MATCH("Валовая прибыль",INDIRECT("'"&amp;B$5&amp;"'!"&amp;B$2),0),MATCH($A17,INDIRECT("'"&amp;B$5&amp;"'!"&amp;B$3),0)),"")</f>
        <v/>
      </c>
      <c r="C17" t="str">
        <f t="shared" ca="1" si="6"/>
        <v/>
      </c>
      <c r="D17" t="str">
        <f t="shared" ca="1" si="6"/>
        <v/>
      </c>
      <c r="E17" t="str">
        <f t="shared" ca="1" si="6"/>
        <v/>
      </c>
      <c r="F17" t="str">
        <f t="shared" ca="1" si="6"/>
        <v/>
      </c>
      <c r="G17" t="str">
        <f t="shared" ca="1" si="6"/>
        <v/>
      </c>
      <c r="H17" t="str">
        <f t="shared" ca="1" si="6"/>
        <v/>
      </c>
      <c r="I17" t="str">
        <f t="shared" ca="1" si="6"/>
        <v/>
      </c>
      <c r="J17" t="str">
        <f t="shared" ca="1" si="6"/>
        <v/>
      </c>
      <c r="K17" t="str">
        <f t="shared" ca="1" si="6"/>
        <v/>
      </c>
      <c r="L17" t="str">
        <f t="shared" ca="1" si="6"/>
        <v/>
      </c>
      <c r="M17" t="str">
        <f t="shared" ca="1" si="6"/>
        <v/>
      </c>
    </row>
    <row r="18" spans="1:13" ht="15.75" customHeight="1" x14ac:dyDescent="0.15">
      <c r="A18" t="e">
        <v>#REF!</v>
      </c>
      <c r="B18" t="str">
        <f t="shared" ref="B18:M18" ca="1" si="7">IFERROR(INDEX(INDIRECT("'"&amp;B$5&amp;"'!"&amp;B$1),MATCH("Валовая прибыль",INDIRECT("'"&amp;B$5&amp;"'!"&amp;B$2),0),MATCH($A18,INDIRECT("'"&amp;B$5&amp;"'!"&amp;B$3),0)),"")</f>
        <v/>
      </c>
      <c r="C18" t="str">
        <f t="shared" ca="1" si="7"/>
        <v/>
      </c>
      <c r="D18" t="str">
        <f t="shared" ca="1" si="7"/>
        <v/>
      </c>
      <c r="E18" t="str">
        <f t="shared" ca="1" si="7"/>
        <v/>
      </c>
      <c r="F18" t="str">
        <f t="shared" ca="1" si="7"/>
        <v/>
      </c>
      <c r="G18" t="str">
        <f t="shared" ca="1" si="7"/>
        <v/>
      </c>
      <c r="H18" t="str">
        <f t="shared" ca="1" si="7"/>
        <v/>
      </c>
      <c r="I18" t="str">
        <f t="shared" ca="1" si="7"/>
        <v/>
      </c>
      <c r="J18" t="str">
        <f t="shared" ca="1" si="7"/>
        <v/>
      </c>
      <c r="K18" t="str">
        <f t="shared" ca="1" si="7"/>
        <v/>
      </c>
      <c r="L18" t="str">
        <f t="shared" ca="1" si="7"/>
        <v/>
      </c>
      <c r="M18" t="str">
        <f t="shared" ca="1" si="7"/>
        <v/>
      </c>
    </row>
    <row r="19" spans="1:13" ht="15.75" customHeight="1" x14ac:dyDescent="0.15">
      <c r="A19" t="e">
        <v>#REF!</v>
      </c>
      <c r="B19" t="str">
        <f t="shared" ref="B19:M19" ca="1" si="8">IFERROR(INDEX(INDIRECT("'"&amp;B$5&amp;"'!"&amp;B$1),MATCH("Валовая прибыль",INDIRECT("'"&amp;B$5&amp;"'!"&amp;B$2),0),MATCH($A19,INDIRECT("'"&amp;B$5&amp;"'!"&amp;B$3),0)),"")</f>
        <v/>
      </c>
      <c r="C19" t="str">
        <f t="shared" ca="1" si="8"/>
        <v/>
      </c>
      <c r="D19" t="str">
        <f t="shared" ca="1" si="8"/>
        <v/>
      </c>
      <c r="E19" t="str">
        <f t="shared" ca="1" si="8"/>
        <v/>
      </c>
      <c r="F19" t="str">
        <f t="shared" ca="1" si="8"/>
        <v/>
      </c>
      <c r="G19" t="str">
        <f t="shared" ca="1" si="8"/>
        <v/>
      </c>
      <c r="H19" t="str">
        <f t="shared" ca="1" si="8"/>
        <v/>
      </c>
      <c r="I19" t="str">
        <f t="shared" ca="1" si="8"/>
        <v/>
      </c>
      <c r="J19" t="str">
        <f t="shared" ca="1" si="8"/>
        <v/>
      </c>
      <c r="K19" t="str">
        <f t="shared" ca="1" si="8"/>
        <v/>
      </c>
      <c r="L19" t="str">
        <f t="shared" ca="1" si="8"/>
        <v/>
      </c>
      <c r="M19" t="str">
        <f t="shared" ca="1" si="8"/>
        <v/>
      </c>
    </row>
    <row r="20" spans="1:13" ht="15.75" customHeight="1" x14ac:dyDescent="0.15">
      <c r="A20" t="e">
        <v>#REF!</v>
      </c>
      <c r="B20" t="str">
        <f t="shared" ref="B20:M20" ca="1" si="9">IFERROR(INDEX(INDIRECT("'"&amp;B$5&amp;"'!"&amp;B$1),MATCH("Валовая прибыль",INDIRECT("'"&amp;B$5&amp;"'!"&amp;B$2),0),MATCH($A20,INDIRECT("'"&amp;B$5&amp;"'!"&amp;B$3),0)),"")</f>
        <v/>
      </c>
      <c r="C20" t="str">
        <f t="shared" ca="1" si="9"/>
        <v/>
      </c>
      <c r="D20" t="str">
        <f t="shared" ca="1" si="9"/>
        <v/>
      </c>
      <c r="E20" t="str">
        <f t="shared" ca="1" si="9"/>
        <v/>
      </c>
      <c r="F20" t="str">
        <f t="shared" ca="1" si="9"/>
        <v/>
      </c>
      <c r="G20" t="str">
        <f t="shared" ca="1" si="9"/>
        <v/>
      </c>
      <c r="H20" t="str">
        <f t="shared" ca="1" si="9"/>
        <v/>
      </c>
      <c r="I20" t="str">
        <f t="shared" ca="1" si="9"/>
        <v/>
      </c>
      <c r="J20" t="str">
        <f t="shared" ca="1" si="9"/>
        <v/>
      </c>
      <c r="K20" t="str">
        <f t="shared" ca="1" si="9"/>
        <v/>
      </c>
      <c r="L20" t="str">
        <f t="shared" ca="1" si="9"/>
        <v/>
      </c>
      <c r="M20" t="str">
        <f t="shared" ca="1" si="9"/>
        <v/>
      </c>
    </row>
    <row r="21" spans="1:13" ht="15.75" customHeight="1" x14ac:dyDescent="0.15">
      <c r="A21" t="e">
        <v>#REF!</v>
      </c>
      <c r="B21" t="str">
        <f t="shared" ref="B21:M21" ca="1" si="10">IFERROR(INDEX(INDIRECT("'"&amp;B$5&amp;"'!"&amp;B$1),MATCH("Валовая прибыль",INDIRECT("'"&amp;B$5&amp;"'!"&amp;B$2),0),MATCH($A21,INDIRECT("'"&amp;B$5&amp;"'!"&amp;B$3),0)),"")</f>
        <v/>
      </c>
      <c r="C21" t="str">
        <f t="shared" ca="1" si="10"/>
        <v/>
      </c>
      <c r="D21" t="str">
        <f t="shared" ca="1" si="10"/>
        <v/>
      </c>
      <c r="E21" t="str">
        <f t="shared" ca="1" si="10"/>
        <v/>
      </c>
      <c r="F21" t="str">
        <f t="shared" ca="1" si="10"/>
        <v/>
      </c>
      <c r="G21" t="str">
        <f t="shared" ca="1" si="10"/>
        <v/>
      </c>
      <c r="H21" t="str">
        <f t="shared" ca="1" si="10"/>
        <v/>
      </c>
      <c r="I21" t="str">
        <f t="shared" ca="1" si="10"/>
        <v/>
      </c>
      <c r="J21" t="str">
        <f t="shared" ca="1" si="10"/>
        <v/>
      </c>
      <c r="K21" t="str">
        <f t="shared" ca="1" si="10"/>
        <v/>
      </c>
      <c r="L21" t="str">
        <f t="shared" ca="1" si="10"/>
        <v/>
      </c>
      <c r="M21" t="str">
        <f t="shared" ca="1" si="10"/>
        <v/>
      </c>
    </row>
    <row r="22" spans="1:13" ht="15.75" customHeight="1" x14ac:dyDescent="0.15">
      <c r="A22" t="e">
        <v>#REF!</v>
      </c>
      <c r="B22" t="str">
        <f t="shared" ref="B22:M22" ca="1" si="11">IFERROR(INDEX(INDIRECT("'"&amp;B$5&amp;"'!"&amp;B$1),MATCH("Валовая прибыль",INDIRECT("'"&amp;B$5&amp;"'!"&amp;B$2),0),MATCH($A22,INDIRECT("'"&amp;B$5&amp;"'!"&amp;B$3),0)),"")</f>
        <v/>
      </c>
      <c r="C22" t="str">
        <f t="shared" ca="1" si="11"/>
        <v/>
      </c>
      <c r="D22" t="str">
        <f t="shared" ca="1" si="11"/>
        <v/>
      </c>
      <c r="E22" t="str">
        <f t="shared" ca="1" si="11"/>
        <v/>
      </c>
      <c r="F22" t="str">
        <f t="shared" ca="1" si="11"/>
        <v/>
      </c>
      <c r="G22" t="str">
        <f t="shared" ca="1" si="11"/>
        <v/>
      </c>
      <c r="H22" t="str">
        <f t="shared" ca="1" si="11"/>
        <v/>
      </c>
      <c r="I22" t="str">
        <f t="shared" ca="1" si="11"/>
        <v/>
      </c>
      <c r="J22" t="str">
        <f t="shared" ca="1" si="11"/>
        <v/>
      </c>
      <c r="K22" t="str">
        <f t="shared" ca="1" si="11"/>
        <v/>
      </c>
      <c r="L22" t="str">
        <f t="shared" ca="1" si="11"/>
        <v/>
      </c>
      <c r="M22" t="str">
        <f t="shared" ca="1" si="11"/>
        <v/>
      </c>
    </row>
    <row r="23" spans="1:13" ht="15.75" customHeight="1" x14ac:dyDescent="0.15">
      <c r="A23" t="e">
        <v>#REF!</v>
      </c>
    </row>
    <row r="26" spans="1:13" ht="15.75" customHeight="1" x14ac:dyDescent="0.15">
      <c r="A26" s="165" t="s">
        <v>9</v>
      </c>
    </row>
    <row r="27" spans="1:13" ht="15.75" customHeight="1" x14ac:dyDescent="0.15">
      <c r="A27" t="e">
        <f t="array" ref="A27:A33">#REF!</f>
        <v>#REF!</v>
      </c>
      <c r="B27" s="166" t="str">
        <f t="shared" ref="B27:M27" ca="1" si="12">IFERROR(INDEX(INDIRECT("'"&amp;B$5&amp;"'!"&amp;B$1),MATCH($A$26,INDIRECT("'"&amp;B$5&amp;"'!"&amp;B$2),0),MATCH($A27,INDIRECT("'"&amp;B$5&amp;"'!"&amp;B$3),0)),"")</f>
        <v/>
      </c>
      <c r="C27" s="166" t="str">
        <f t="shared" ca="1" si="12"/>
        <v/>
      </c>
      <c r="D27" s="166" t="str">
        <f t="shared" ca="1" si="12"/>
        <v/>
      </c>
      <c r="E27" s="166" t="str">
        <f t="shared" ca="1" si="12"/>
        <v/>
      </c>
      <c r="F27" s="166" t="str">
        <f t="shared" ca="1" si="12"/>
        <v/>
      </c>
      <c r="G27" s="166" t="str">
        <f t="shared" ca="1" si="12"/>
        <v/>
      </c>
      <c r="H27" s="166" t="str">
        <f t="shared" ca="1" si="12"/>
        <v/>
      </c>
      <c r="I27" s="166" t="str">
        <f t="shared" ca="1" si="12"/>
        <v/>
      </c>
      <c r="J27" s="166" t="str">
        <f t="shared" ca="1" si="12"/>
        <v/>
      </c>
      <c r="K27" s="166" t="str">
        <f t="shared" ca="1" si="12"/>
        <v/>
      </c>
      <c r="L27" s="166" t="str">
        <f t="shared" ca="1" si="12"/>
        <v/>
      </c>
      <c r="M27" s="166" t="str">
        <f t="shared" ca="1" si="12"/>
        <v/>
      </c>
    </row>
    <row r="28" spans="1:13" ht="15.75" customHeight="1" x14ac:dyDescent="0.15">
      <c r="A28" t="e">
        <v>#REF!</v>
      </c>
      <c r="B28" s="166" t="str">
        <f t="shared" ref="B28:M28" ca="1" si="13">IFERROR(INDEX(INDIRECT("'"&amp;B$5&amp;"'!"&amp;B$1),MATCH($A$26,INDIRECT("'"&amp;B$5&amp;"'!"&amp;B$2),0),MATCH($A28,INDIRECT("'"&amp;B$5&amp;"'!"&amp;B$3),0)),"")</f>
        <v/>
      </c>
      <c r="C28" s="166" t="str">
        <f t="shared" ca="1" si="13"/>
        <v/>
      </c>
      <c r="D28" s="166" t="str">
        <f t="shared" ca="1" si="13"/>
        <v/>
      </c>
      <c r="E28" s="166" t="str">
        <f t="shared" ca="1" si="13"/>
        <v/>
      </c>
      <c r="F28" s="166" t="str">
        <f t="shared" ca="1" si="13"/>
        <v/>
      </c>
      <c r="G28" s="166" t="str">
        <f t="shared" ca="1" si="13"/>
        <v/>
      </c>
      <c r="H28" s="166" t="str">
        <f t="shared" ca="1" si="13"/>
        <v/>
      </c>
      <c r="I28" s="166" t="str">
        <f t="shared" ca="1" si="13"/>
        <v/>
      </c>
      <c r="J28" s="166" t="str">
        <f t="shared" ca="1" si="13"/>
        <v/>
      </c>
      <c r="K28" s="166" t="str">
        <f t="shared" ca="1" si="13"/>
        <v/>
      </c>
      <c r="L28" s="166" t="str">
        <f t="shared" ca="1" si="13"/>
        <v/>
      </c>
      <c r="M28" s="166" t="str">
        <f t="shared" ca="1" si="13"/>
        <v/>
      </c>
    </row>
    <row r="29" spans="1:13" ht="15.75" customHeight="1" x14ac:dyDescent="0.15">
      <c r="A29" t="e">
        <v>#REF!</v>
      </c>
      <c r="B29" s="166" t="str">
        <f t="shared" ref="B29:M29" ca="1" si="14">IFERROR(INDEX(INDIRECT("'"&amp;B$5&amp;"'!"&amp;B$1),MATCH($A$26,INDIRECT("'"&amp;B$5&amp;"'!"&amp;B$2),0),MATCH($A29,INDIRECT("'"&amp;B$5&amp;"'!"&amp;B$3),0)),"")</f>
        <v/>
      </c>
      <c r="C29" s="166" t="str">
        <f t="shared" ca="1" si="14"/>
        <v/>
      </c>
      <c r="D29" s="166" t="str">
        <f t="shared" ca="1" si="14"/>
        <v/>
      </c>
      <c r="E29" s="166" t="str">
        <f t="shared" ca="1" si="14"/>
        <v/>
      </c>
      <c r="F29" s="166" t="str">
        <f t="shared" ca="1" si="14"/>
        <v/>
      </c>
      <c r="G29" s="166" t="str">
        <f t="shared" ca="1" si="14"/>
        <v/>
      </c>
      <c r="H29" s="166" t="str">
        <f t="shared" ca="1" si="14"/>
        <v/>
      </c>
      <c r="I29" s="166" t="str">
        <f t="shared" ca="1" si="14"/>
        <v/>
      </c>
      <c r="J29" s="166" t="str">
        <f t="shared" ca="1" si="14"/>
        <v/>
      </c>
      <c r="K29" s="166" t="str">
        <f t="shared" ca="1" si="14"/>
        <v/>
      </c>
      <c r="L29" s="166" t="str">
        <f t="shared" ca="1" si="14"/>
        <v/>
      </c>
      <c r="M29" s="166" t="str">
        <f t="shared" ca="1" si="14"/>
        <v/>
      </c>
    </row>
    <row r="30" spans="1:13" ht="15.75" customHeight="1" x14ac:dyDescent="0.15">
      <c r="A30" t="e">
        <v>#REF!</v>
      </c>
      <c r="B30" s="166" t="str">
        <f t="shared" ref="B30:M30" ca="1" si="15">IFERROR(INDEX(INDIRECT("'"&amp;B$5&amp;"'!"&amp;B$1),MATCH($A$26,INDIRECT("'"&amp;B$5&amp;"'!"&amp;B$2),0),MATCH($A30,INDIRECT("'"&amp;B$5&amp;"'!"&amp;B$3),0)),"")</f>
        <v/>
      </c>
      <c r="C30" s="166" t="str">
        <f t="shared" ca="1" si="15"/>
        <v/>
      </c>
      <c r="D30" s="166" t="str">
        <f t="shared" ca="1" si="15"/>
        <v/>
      </c>
      <c r="E30" s="166" t="str">
        <f t="shared" ca="1" si="15"/>
        <v/>
      </c>
      <c r="F30" s="166" t="str">
        <f t="shared" ca="1" si="15"/>
        <v/>
      </c>
      <c r="G30" s="166" t="str">
        <f t="shared" ca="1" si="15"/>
        <v/>
      </c>
      <c r="H30" s="166" t="str">
        <f t="shared" ca="1" si="15"/>
        <v/>
      </c>
      <c r="I30" s="166" t="str">
        <f t="shared" ca="1" si="15"/>
        <v/>
      </c>
      <c r="J30" s="166" t="str">
        <f t="shared" ca="1" si="15"/>
        <v/>
      </c>
      <c r="K30" s="166" t="str">
        <f t="shared" ca="1" si="15"/>
        <v/>
      </c>
      <c r="L30" s="166" t="str">
        <f t="shared" ca="1" si="15"/>
        <v/>
      </c>
      <c r="M30" s="166" t="str">
        <f t="shared" ca="1" si="15"/>
        <v/>
      </c>
    </row>
    <row r="31" spans="1:13" ht="15.75" customHeight="1" x14ac:dyDescent="0.15">
      <c r="A31" t="e">
        <v>#REF!</v>
      </c>
      <c r="B31" s="166" t="str">
        <f t="shared" ref="B31:M31" ca="1" si="16">IFERROR(INDEX(INDIRECT("'"&amp;B$5&amp;"'!"&amp;B$1),MATCH($A$26,INDIRECT("'"&amp;B$5&amp;"'!"&amp;B$2),0),MATCH($A31,INDIRECT("'"&amp;B$5&amp;"'!"&amp;B$3),0)),"")</f>
        <v/>
      </c>
      <c r="C31" s="166" t="str">
        <f t="shared" ca="1" si="16"/>
        <v/>
      </c>
      <c r="D31" s="166" t="str">
        <f t="shared" ca="1" si="16"/>
        <v/>
      </c>
      <c r="E31" s="166" t="str">
        <f t="shared" ca="1" si="16"/>
        <v/>
      </c>
      <c r="F31" s="166" t="str">
        <f t="shared" ca="1" si="16"/>
        <v/>
      </c>
      <c r="G31" s="166" t="str">
        <f t="shared" ca="1" si="16"/>
        <v/>
      </c>
      <c r="H31" s="166" t="str">
        <f t="shared" ca="1" si="16"/>
        <v/>
      </c>
      <c r="I31" s="166" t="str">
        <f t="shared" ca="1" si="16"/>
        <v/>
      </c>
      <c r="J31" s="166" t="str">
        <f t="shared" ca="1" si="16"/>
        <v/>
      </c>
      <c r="K31" s="166" t="str">
        <f t="shared" ca="1" si="16"/>
        <v/>
      </c>
      <c r="L31" s="166" t="str">
        <f t="shared" ca="1" si="16"/>
        <v/>
      </c>
      <c r="M31" s="166" t="str">
        <f t="shared" ca="1" si="16"/>
        <v/>
      </c>
    </row>
    <row r="32" spans="1:13" ht="15.75" customHeight="1" x14ac:dyDescent="0.15">
      <c r="A32" t="e">
        <v>#REF!</v>
      </c>
      <c r="B32" s="166" t="str">
        <f t="shared" ref="B32:M32" ca="1" si="17">IFERROR(INDEX(INDIRECT("'"&amp;B$5&amp;"'!"&amp;B$1),MATCH($A$26,INDIRECT("'"&amp;B$5&amp;"'!"&amp;B$2),0),MATCH($A32,INDIRECT("'"&amp;B$5&amp;"'!"&amp;B$3),0)),"")</f>
        <v/>
      </c>
      <c r="C32" s="166" t="str">
        <f t="shared" ca="1" si="17"/>
        <v/>
      </c>
      <c r="D32" s="166" t="str">
        <f t="shared" ca="1" si="17"/>
        <v/>
      </c>
      <c r="E32" s="166" t="str">
        <f t="shared" ca="1" si="17"/>
        <v/>
      </c>
      <c r="F32" s="166" t="str">
        <f t="shared" ca="1" si="17"/>
        <v/>
      </c>
      <c r="G32" s="166" t="str">
        <f t="shared" ca="1" si="17"/>
        <v/>
      </c>
      <c r="H32" s="166" t="str">
        <f t="shared" ca="1" si="17"/>
        <v/>
      </c>
      <c r="I32" s="166" t="str">
        <f t="shared" ca="1" si="17"/>
        <v/>
      </c>
      <c r="J32" s="166" t="str">
        <f t="shared" ca="1" si="17"/>
        <v/>
      </c>
      <c r="K32" s="166" t="str">
        <f t="shared" ca="1" si="17"/>
        <v/>
      </c>
      <c r="L32" s="166" t="str">
        <f t="shared" ca="1" si="17"/>
        <v/>
      </c>
      <c r="M32" s="166" t="str">
        <f t="shared" ca="1" si="17"/>
        <v/>
      </c>
    </row>
    <row r="33" spans="1:1" ht="15.75" customHeight="1" x14ac:dyDescent="0.15">
      <c r="A33" t="e"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182"/>
  <sheetViews>
    <sheetView workbookViewId="0"/>
  </sheetViews>
  <sheetFormatPr baseColWidth="10" defaultColWidth="12.6640625" defaultRowHeight="15.75" customHeight="1" outlineLevelRow="1" outlineLevelCol="1" x14ac:dyDescent="0.15"/>
  <cols>
    <col min="1" max="1" width="9.5" customWidth="1"/>
    <col min="2" max="2" width="34.33203125" customWidth="1"/>
    <col min="3" max="12" width="10.6640625" customWidth="1" outlineLevel="1"/>
    <col min="13" max="13" width="10.6640625" customWidth="1"/>
  </cols>
  <sheetData>
    <row r="1" spans="1:13" ht="14" x14ac:dyDescent="0.15">
      <c r="A1" s="168" t="s">
        <v>0</v>
      </c>
      <c r="B1" s="168"/>
      <c r="C1" s="169" t="e">
        <f t="array" ref="C1:L1">TRANSPOSE(#REF!)</f>
        <v>#REF!</v>
      </c>
      <c r="D1" s="170" t="e">
        <v>#REF!</v>
      </c>
      <c r="E1" s="170" t="e">
        <v>#REF!</v>
      </c>
      <c r="F1" s="169" t="e">
        <v>#REF!</v>
      </c>
      <c r="G1" s="169" t="e">
        <v>#REF!</v>
      </c>
      <c r="H1" s="170" t="e">
        <v>#REF!</v>
      </c>
      <c r="I1" s="170" t="e">
        <v>#REF!</v>
      </c>
      <c r="J1" s="171" t="e">
        <v>#REF!</v>
      </c>
      <c r="K1" s="171" t="e">
        <v>#REF!</v>
      </c>
      <c r="L1" s="171" t="e">
        <v>#REF!</v>
      </c>
      <c r="M1" s="171" t="s">
        <v>15</v>
      </c>
    </row>
    <row r="2" spans="1:13" ht="15" x14ac:dyDescent="0.15">
      <c r="A2" s="203" t="s">
        <v>72</v>
      </c>
      <c r="B2" s="172" t="s">
        <v>54</v>
      </c>
      <c r="C2" s="173">
        <f t="shared" ref="C2:L2" si="0">SUM(C3:C7)</f>
        <v>150000</v>
      </c>
      <c r="D2" s="173">
        <f t="shared" si="0"/>
        <v>2</v>
      </c>
      <c r="E2" s="173">
        <f t="shared" si="0"/>
        <v>3</v>
      </c>
      <c r="F2" s="173">
        <f t="shared" si="0"/>
        <v>4</v>
      </c>
      <c r="G2" s="173">
        <f t="shared" si="0"/>
        <v>5</v>
      </c>
      <c r="H2" s="173">
        <f t="shared" si="0"/>
        <v>0</v>
      </c>
      <c r="I2" s="173">
        <f t="shared" si="0"/>
        <v>6</v>
      </c>
      <c r="J2" s="173">
        <f t="shared" si="0"/>
        <v>0</v>
      </c>
      <c r="K2" s="173">
        <f t="shared" si="0"/>
        <v>0</v>
      </c>
      <c r="L2" s="173">
        <f t="shared" si="0"/>
        <v>0</v>
      </c>
      <c r="M2" s="173">
        <f>SUM(C2:K2)</f>
        <v>150020</v>
      </c>
    </row>
    <row r="3" spans="1:13" ht="14" x14ac:dyDescent="0.15">
      <c r="A3" s="198"/>
      <c r="B3" s="174" t="str">
        <f ca="1">IFERROR(__xludf.DUMMYFUNCTION("iferror(filter('Статьи'!$A$1:$A182,'Статьи'!$B$1:$B182=$B$2))"),"")</f>
        <v/>
      </c>
      <c r="C3" s="175">
        <v>150000</v>
      </c>
      <c r="D3" s="175"/>
      <c r="E3" s="175"/>
      <c r="F3" s="175"/>
      <c r="G3" s="175"/>
      <c r="H3" s="175"/>
      <c r="I3" s="175"/>
      <c r="J3" s="4"/>
      <c r="K3" s="4"/>
      <c r="L3" s="4"/>
      <c r="M3" s="176">
        <f t="shared" ref="M3:M7" si="1">SUM(C3:L3)</f>
        <v>150000</v>
      </c>
    </row>
    <row r="4" spans="1:13" ht="13" x14ac:dyDescent="0.15">
      <c r="A4" s="198"/>
      <c r="B4" s="174"/>
      <c r="C4" s="175"/>
      <c r="D4" s="175">
        <v>2</v>
      </c>
      <c r="E4" s="175"/>
      <c r="F4" s="175"/>
      <c r="G4" s="175"/>
      <c r="H4" s="175"/>
      <c r="I4" s="175"/>
      <c r="J4" s="4"/>
      <c r="K4" s="4"/>
      <c r="L4" s="4"/>
      <c r="M4" s="176">
        <f t="shared" si="1"/>
        <v>2</v>
      </c>
    </row>
    <row r="5" spans="1:13" ht="13" x14ac:dyDescent="0.15">
      <c r="A5" s="198"/>
      <c r="B5" s="174"/>
      <c r="C5" s="175"/>
      <c r="D5" s="175"/>
      <c r="E5" s="175">
        <v>3</v>
      </c>
      <c r="F5" s="175">
        <v>4</v>
      </c>
      <c r="G5" s="175">
        <v>5</v>
      </c>
      <c r="H5" s="175"/>
      <c r="I5" s="175"/>
      <c r="J5" s="4"/>
      <c r="K5" s="4"/>
      <c r="L5" s="4"/>
      <c r="M5" s="176">
        <f t="shared" si="1"/>
        <v>12</v>
      </c>
    </row>
    <row r="6" spans="1:13" ht="13" x14ac:dyDescent="0.15">
      <c r="A6" s="198"/>
      <c r="B6" s="174"/>
      <c r="C6" s="175"/>
      <c r="D6" s="175"/>
      <c r="E6" s="175"/>
      <c r="F6" s="175"/>
      <c r="G6" s="175"/>
      <c r="H6" s="175"/>
      <c r="I6" s="175"/>
      <c r="J6" s="4"/>
      <c r="K6" s="4"/>
      <c r="L6" s="4"/>
      <c r="M6" s="176">
        <f t="shared" si="1"/>
        <v>0</v>
      </c>
    </row>
    <row r="7" spans="1:13" ht="13" x14ac:dyDescent="0.15">
      <c r="A7" s="198"/>
      <c r="B7" s="174"/>
      <c r="C7" s="175"/>
      <c r="D7" s="175"/>
      <c r="E7" s="175"/>
      <c r="F7" s="175"/>
      <c r="G7" s="175"/>
      <c r="H7" s="175"/>
      <c r="I7" s="175">
        <v>6</v>
      </c>
      <c r="J7" s="4"/>
      <c r="K7" s="4"/>
      <c r="L7" s="4"/>
      <c r="M7" s="176">
        <f t="shared" si="1"/>
        <v>6</v>
      </c>
    </row>
    <row r="8" spans="1:13" ht="13" outlineLevel="1" x14ac:dyDescent="0.15">
      <c r="A8" s="198"/>
      <c r="B8" s="174"/>
      <c r="C8" s="175"/>
      <c r="D8" s="175"/>
      <c r="E8" s="175"/>
      <c r="F8" s="175"/>
      <c r="G8" s="175"/>
      <c r="H8" s="175"/>
      <c r="I8" s="175"/>
      <c r="J8" s="4"/>
      <c r="K8" s="4"/>
      <c r="L8" s="4"/>
      <c r="M8" s="4"/>
    </row>
    <row r="9" spans="1:13" ht="13" outlineLevel="1" x14ac:dyDescent="0.15">
      <c r="A9" s="198"/>
      <c r="B9" s="174"/>
      <c r="C9" s="175"/>
      <c r="D9" s="175"/>
      <c r="E9" s="175"/>
      <c r="F9" s="175"/>
      <c r="G9" s="175"/>
      <c r="H9" s="175"/>
      <c r="I9" s="175"/>
      <c r="J9" s="4"/>
      <c r="K9" s="4"/>
      <c r="L9" s="4"/>
      <c r="M9" s="4"/>
    </row>
    <row r="10" spans="1:13" ht="13" outlineLevel="1" x14ac:dyDescent="0.15">
      <c r="A10" s="198"/>
      <c r="B10" s="174"/>
      <c r="C10" s="175"/>
      <c r="D10" s="175"/>
      <c r="E10" s="175"/>
      <c r="F10" s="175"/>
      <c r="G10" s="175"/>
      <c r="H10" s="175"/>
      <c r="I10" s="175"/>
      <c r="J10" s="4"/>
      <c r="K10" s="4"/>
      <c r="L10" s="4"/>
      <c r="M10" s="4"/>
    </row>
    <row r="11" spans="1:13" ht="14" x14ac:dyDescent="0.15">
      <c r="A11" s="198"/>
      <c r="B11" s="177" t="s">
        <v>73</v>
      </c>
      <c r="C11" s="178">
        <f t="shared" ref="C11:M11" si="2">SUM(C12:C53)</f>
        <v>-27000</v>
      </c>
      <c r="D11" s="178">
        <f t="shared" si="2"/>
        <v>0</v>
      </c>
      <c r="E11" s="178">
        <f t="shared" si="2"/>
        <v>0</v>
      </c>
      <c r="F11" s="178">
        <f t="shared" si="2"/>
        <v>0</v>
      </c>
      <c r="G11" s="178">
        <f t="shared" si="2"/>
        <v>0</v>
      </c>
      <c r="H11" s="178">
        <f t="shared" si="2"/>
        <v>0</v>
      </c>
      <c r="I11" s="178">
        <f t="shared" si="2"/>
        <v>0</v>
      </c>
      <c r="J11" s="178">
        <f t="shared" si="2"/>
        <v>0</v>
      </c>
      <c r="K11" s="178">
        <f t="shared" si="2"/>
        <v>0</v>
      </c>
      <c r="L11" s="178">
        <f t="shared" si="2"/>
        <v>0</v>
      </c>
      <c r="M11" s="178">
        <f t="shared" si="2"/>
        <v>-27000</v>
      </c>
    </row>
    <row r="12" spans="1:13" ht="14" x14ac:dyDescent="0.15">
      <c r="A12" s="198"/>
      <c r="B12" s="174" t="str">
        <f ca="1">IFERROR(__xludf.DUMMYFUNCTION("iferror(filter('Статьи'!$A$1:$A182,'Статьи'!$B$1:$B182=$B$11))"),"")</f>
        <v/>
      </c>
      <c r="C12" s="175">
        <v>-27000</v>
      </c>
      <c r="D12" s="175"/>
      <c r="E12" s="175"/>
      <c r="F12" s="175"/>
      <c r="G12" s="175"/>
      <c r="H12" s="179"/>
      <c r="I12" s="175"/>
      <c r="J12" s="4"/>
      <c r="K12" s="4"/>
      <c r="L12" s="4"/>
      <c r="M12" s="180">
        <f t="shared" ref="M12:M53" si="3">SUM(C12:K12)</f>
        <v>-27000</v>
      </c>
    </row>
    <row r="13" spans="1:13" ht="13" x14ac:dyDescent="0.15">
      <c r="A13" s="198"/>
      <c r="B13" s="174"/>
      <c r="C13" s="181"/>
      <c r="D13" s="175"/>
      <c r="E13" s="175"/>
      <c r="F13" s="181"/>
      <c r="G13" s="181"/>
      <c r="H13" s="179"/>
      <c r="I13" s="175"/>
      <c r="J13" s="4"/>
      <c r="K13" s="4"/>
      <c r="L13" s="4"/>
      <c r="M13" s="180">
        <f t="shared" si="3"/>
        <v>0</v>
      </c>
    </row>
    <row r="14" spans="1:13" ht="13" x14ac:dyDescent="0.15">
      <c r="A14" s="198"/>
      <c r="B14" s="174"/>
      <c r="C14" s="181"/>
      <c r="D14" s="175"/>
      <c r="E14" s="175"/>
      <c r="F14" s="181"/>
      <c r="G14" s="181"/>
      <c r="H14" s="179"/>
      <c r="I14" s="175"/>
      <c r="J14" s="4"/>
      <c r="K14" s="4"/>
      <c r="L14" s="4"/>
      <c r="M14" s="180">
        <f t="shared" si="3"/>
        <v>0</v>
      </c>
    </row>
    <row r="15" spans="1:13" ht="13" x14ac:dyDescent="0.15">
      <c r="A15" s="198"/>
      <c r="B15" s="174"/>
      <c r="C15" s="181"/>
      <c r="D15" s="175"/>
      <c r="E15" s="175"/>
      <c r="F15" s="181"/>
      <c r="G15" s="181"/>
      <c r="H15" s="179"/>
      <c r="I15" s="175"/>
      <c r="J15" s="4"/>
      <c r="K15" s="4"/>
      <c r="L15" s="4"/>
      <c r="M15" s="180">
        <f t="shared" si="3"/>
        <v>0</v>
      </c>
    </row>
    <row r="16" spans="1:13" ht="13" x14ac:dyDescent="0.15">
      <c r="A16" s="198"/>
      <c r="B16" s="174"/>
      <c r="C16" s="181"/>
      <c r="D16" s="175"/>
      <c r="E16" s="175"/>
      <c r="F16" s="181"/>
      <c r="G16" s="181"/>
      <c r="H16" s="179"/>
      <c r="I16" s="175"/>
      <c r="J16" s="4"/>
      <c r="K16" s="4"/>
      <c r="L16" s="4"/>
      <c r="M16" s="180">
        <f t="shared" si="3"/>
        <v>0</v>
      </c>
    </row>
    <row r="17" spans="1:13" ht="13" x14ac:dyDescent="0.15">
      <c r="A17" s="198"/>
      <c r="B17" s="174"/>
      <c r="C17" s="181"/>
      <c r="D17" s="175"/>
      <c r="E17" s="175"/>
      <c r="F17" s="181"/>
      <c r="G17" s="181"/>
      <c r="H17" s="179"/>
      <c r="I17" s="175"/>
      <c r="J17" s="4"/>
      <c r="K17" s="4"/>
      <c r="L17" s="4"/>
      <c r="M17" s="180">
        <f t="shared" si="3"/>
        <v>0</v>
      </c>
    </row>
    <row r="18" spans="1:13" ht="13" x14ac:dyDescent="0.15">
      <c r="A18" s="198"/>
      <c r="B18" s="174"/>
      <c r="C18" s="181"/>
      <c r="D18" s="175"/>
      <c r="E18" s="175"/>
      <c r="F18" s="181"/>
      <c r="G18" s="181"/>
      <c r="H18" s="179"/>
      <c r="I18" s="175"/>
      <c r="J18" s="4"/>
      <c r="K18" s="4"/>
      <c r="L18" s="4"/>
      <c r="M18" s="180">
        <f t="shared" si="3"/>
        <v>0</v>
      </c>
    </row>
    <row r="19" spans="1:13" ht="13" x14ac:dyDescent="0.15">
      <c r="A19" s="198"/>
      <c r="B19" s="174"/>
      <c r="C19" s="181"/>
      <c r="D19" s="175"/>
      <c r="E19" s="175"/>
      <c r="F19" s="181"/>
      <c r="G19" s="181"/>
      <c r="H19" s="179"/>
      <c r="I19" s="175"/>
      <c r="J19" s="4"/>
      <c r="K19" s="4"/>
      <c r="L19" s="4"/>
      <c r="M19" s="180">
        <f t="shared" si="3"/>
        <v>0</v>
      </c>
    </row>
    <row r="20" spans="1:13" ht="13" x14ac:dyDescent="0.15">
      <c r="A20" s="198"/>
      <c r="B20" s="174"/>
      <c r="C20" s="181"/>
      <c r="D20" s="175"/>
      <c r="E20" s="175"/>
      <c r="F20" s="181"/>
      <c r="G20" s="181"/>
      <c r="H20" s="179"/>
      <c r="I20" s="175"/>
      <c r="J20" s="4"/>
      <c r="K20" s="4"/>
      <c r="L20" s="4"/>
      <c r="M20" s="180">
        <f t="shared" si="3"/>
        <v>0</v>
      </c>
    </row>
    <row r="21" spans="1:13" ht="13" collapsed="1" x14ac:dyDescent="0.15">
      <c r="A21" s="198"/>
      <c r="B21" s="174"/>
      <c r="C21" s="181"/>
      <c r="D21" s="175"/>
      <c r="E21" s="175"/>
      <c r="F21" s="181"/>
      <c r="G21" s="181"/>
      <c r="H21" s="182"/>
      <c r="I21" s="175"/>
      <c r="J21" s="4"/>
      <c r="K21" s="4"/>
      <c r="L21" s="4"/>
      <c r="M21" s="180">
        <f t="shared" si="3"/>
        <v>0</v>
      </c>
    </row>
    <row r="22" spans="1:13" ht="13" hidden="1" outlineLevel="1" x14ac:dyDescent="0.15">
      <c r="A22" s="198"/>
      <c r="C22" s="181"/>
      <c r="D22" s="175"/>
      <c r="E22" s="175"/>
      <c r="F22" s="181"/>
      <c r="G22" s="181"/>
      <c r="H22" s="179"/>
      <c r="I22" s="175"/>
      <c r="J22" s="4"/>
      <c r="K22" s="4"/>
      <c r="L22" s="4"/>
      <c r="M22" s="180">
        <f t="shared" si="3"/>
        <v>0</v>
      </c>
    </row>
    <row r="23" spans="1:13" ht="13" hidden="1" outlineLevel="1" x14ac:dyDescent="0.15">
      <c r="A23" s="198"/>
      <c r="B23" s="174"/>
      <c r="C23" s="181"/>
      <c r="D23" s="175"/>
      <c r="E23" s="175"/>
      <c r="F23" s="181"/>
      <c r="G23" s="181"/>
      <c r="H23" s="179"/>
      <c r="I23" s="175"/>
      <c r="J23" s="4"/>
      <c r="K23" s="4"/>
      <c r="L23" s="4"/>
      <c r="M23" s="180">
        <f t="shared" si="3"/>
        <v>0</v>
      </c>
    </row>
    <row r="24" spans="1:13" ht="13" hidden="1" outlineLevel="1" x14ac:dyDescent="0.15">
      <c r="A24" s="198"/>
      <c r="B24" s="174"/>
      <c r="C24" s="4"/>
      <c r="D24" s="175"/>
      <c r="E24" s="175"/>
      <c r="F24" s="175"/>
      <c r="G24" s="175"/>
      <c r="H24" s="179"/>
      <c r="I24" s="175"/>
      <c r="J24" s="4"/>
      <c r="K24" s="4"/>
      <c r="L24" s="4"/>
      <c r="M24" s="180">
        <f t="shared" si="3"/>
        <v>0</v>
      </c>
    </row>
    <row r="25" spans="1:13" ht="13" hidden="1" outlineLevel="1" x14ac:dyDescent="0.15">
      <c r="A25" s="198"/>
      <c r="B25" s="174"/>
      <c r="C25" s="4"/>
      <c r="D25" s="175"/>
      <c r="E25" s="175"/>
      <c r="F25" s="175"/>
      <c r="G25" s="175"/>
      <c r="H25" s="179"/>
      <c r="I25" s="175"/>
      <c r="J25" s="4"/>
      <c r="K25" s="4"/>
      <c r="L25" s="4"/>
      <c r="M25" s="180">
        <f t="shared" si="3"/>
        <v>0</v>
      </c>
    </row>
    <row r="26" spans="1:13" ht="13" hidden="1" outlineLevel="1" x14ac:dyDescent="0.15">
      <c r="A26" s="198"/>
      <c r="B26" s="174"/>
      <c r="C26" s="4"/>
      <c r="D26" s="175"/>
      <c r="E26" s="175"/>
      <c r="F26" s="175"/>
      <c r="G26" s="175"/>
      <c r="H26" s="179"/>
      <c r="I26" s="175"/>
      <c r="J26" s="4"/>
      <c r="K26" s="4"/>
      <c r="L26" s="4"/>
      <c r="M26" s="180">
        <f t="shared" si="3"/>
        <v>0</v>
      </c>
    </row>
    <row r="27" spans="1:13" ht="13" hidden="1" outlineLevel="1" x14ac:dyDescent="0.15">
      <c r="A27" s="198"/>
      <c r="B27" s="174"/>
      <c r="C27" s="4"/>
      <c r="D27" s="175"/>
      <c r="E27" s="175"/>
      <c r="F27" s="175"/>
      <c r="G27" s="175"/>
      <c r="H27" s="179"/>
      <c r="I27" s="175"/>
      <c r="J27" s="4"/>
      <c r="K27" s="4"/>
      <c r="L27" s="4"/>
      <c r="M27" s="180">
        <f t="shared" si="3"/>
        <v>0</v>
      </c>
    </row>
    <row r="28" spans="1:13" ht="13" hidden="1" outlineLevel="1" x14ac:dyDescent="0.15">
      <c r="A28" s="198"/>
      <c r="B28" s="174"/>
      <c r="C28" s="4"/>
      <c r="D28" s="175"/>
      <c r="E28" s="175"/>
      <c r="F28" s="175"/>
      <c r="G28" s="175"/>
      <c r="H28" s="179"/>
      <c r="I28" s="175"/>
      <c r="J28" s="4"/>
      <c r="K28" s="4"/>
      <c r="L28" s="4"/>
      <c r="M28" s="180">
        <f t="shared" si="3"/>
        <v>0</v>
      </c>
    </row>
    <row r="29" spans="1:13" ht="13" hidden="1" outlineLevel="1" x14ac:dyDescent="0.15">
      <c r="A29" s="198"/>
      <c r="B29" s="174"/>
      <c r="C29" s="4"/>
      <c r="D29" s="175"/>
      <c r="E29" s="175"/>
      <c r="F29" s="175"/>
      <c r="G29" s="175"/>
      <c r="H29" s="179"/>
      <c r="I29" s="175"/>
      <c r="J29" s="4"/>
      <c r="K29" s="4"/>
      <c r="L29" s="4"/>
      <c r="M29" s="180">
        <f t="shared" si="3"/>
        <v>0</v>
      </c>
    </row>
    <row r="30" spans="1:13" ht="13" hidden="1" outlineLevel="1" x14ac:dyDescent="0.15">
      <c r="A30" s="198"/>
      <c r="B30" s="174"/>
      <c r="C30" s="4"/>
      <c r="D30" s="175"/>
      <c r="E30" s="175"/>
      <c r="F30" s="175"/>
      <c r="G30" s="175"/>
      <c r="H30" s="179"/>
      <c r="I30" s="175"/>
      <c r="J30" s="4"/>
      <c r="K30" s="4"/>
      <c r="L30" s="4"/>
      <c r="M30" s="180">
        <f t="shared" si="3"/>
        <v>0</v>
      </c>
    </row>
    <row r="31" spans="1:13" ht="13" hidden="1" outlineLevel="1" x14ac:dyDescent="0.15">
      <c r="A31" s="198"/>
      <c r="B31" s="174"/>
      <c r="C31" s="4"/>
      <c r="D31" s="175"/>
      <c r="E31" s="175"/>
      <c r="F31" s="175"/>
      <c r="G31" s="175"/>
      <c r="H31" s="179"/>
      <c r="I31" s="175"/>
      <c r="J31" s="4"/>
      <c r="K31" s="4"/>
      <c r="L31" s="4"/>
      <c r="M31" s="180">
        <f t="shared" si="3"/>
        <v>0</v>
      </c>
    </row>
    <row r="32" spans="1:13" ht="13" hidden="1" outlineLevel="1" x14ac:dyDescent="0.15">
      <c r="A32" s="198"/>
      <c r="B32" s="174"/>
      <c r="C32" s="4"/>
      <c r="D32" s="175"/>
      <c r="E32" s="175"/>
      <c r="F32" s="175"/>
      <c r="G32" s="175"/>
      <c r="H32" s="179"/>
      <c r="I32" s="175"/>
      <c r="J32" s="4"/>
      <c r="K32" s="4"/>
      <c r="L32" s="4"/>
      <c r="M32" s="180">
        <f t="shared" si="3"/>
        <v>0</v>
      </c>
    </row>
    <row r="33" spans="1:13" ht="13" hidden="1" outlineLevel="1" x14ac:dyDescent="0.15">
      <c r="A33" s="198"/>
      <c r="B33" s="174"/>
      <c r="C33" s="4"/>
      <c r="D33" s="175"/>
      <c r="E33" s="175"/>
      <c r="F33" s="175"/>
      <c r="G33" s="175"/>
      <c r="H33" s="179"/>
      <c r="I33" s="175"/>
      <c r="J33" s="4"/>
      <c r="K33" s="4"/>
      <c r="L33" s="4"/>
      <c r="M33" s="180">
        <f t="shared" si="3"/>
        <v>0</v>
      </c>
    </row>
    <row r="34" spans="1:13" ht="13" hidden="1" outlineLevel="1" x14ac:dyDescent="0.15">
      <c r="A34" s="198"/>
      <c r="B34" s="174"/>
      <c r="C34" s="4"/>
      <c r="D34" s="175"/>
      <c r="E34" s="175"/>
      <c r="F34" s="175"/>
      <c r="G34" s="175"/>
      <c r="H34" s="179"/>
      <c r="I34" s="175"/>
      <c r="J34" s="4"/>
      <c r="K34" s="4"/>
      <c r="L34" s="4"/>
      <c r="M34" s="180">
        <f t="shared" si="3"/>
        <v>0</v>
      </c>
    </row>
    <row r="35" spans="1:13" ht="13" hidden="1" outlineLevel="1" x14ac:dyDescent="0.15">
      <c r="A35" s="198"/>
      <c r="B35" s="174"/>
      <c r="C35" s="4"/>
      <c r="D35" s="175"/>
      <c r="E35" s="175"/>
      <c r="F35" s="175"/>
      <c r="G35" s="175"/>
      <c r="H35" s="179"/>
      <c r="I35" s="175"/>
      <c r="J35" s="4"/>
      <c r="K35" s="4"/>
      <c r="L35" s="4"/>
      <c r="M35" s="180">
        <f t="shared" si="3"/>
        <v>0</v>
      </c>
    </row>
    <row r="36" spans="1:13" ht="13" hidden="1" outlineLevel="1" x14ac:dyDescent="0.15">
      <c r="A36" s="198"/>
      <c r="B36" s="174"/>
      <c r="C36" s="4"/>
      <c r="D36" s="175"/>
      <c r="E36" s="175"/>
      <c r="F36" s="175"/>
      <c r="G36" s="175"/>
      <c r="H36" s="179"/>
      <c r="I36" s="175"/>
      <c r="J36" s="4"/>
      <c r="K36" s="4"/>
      <c r="L36" s="4"/>
      <c r="M36" s="180">
        <f t="shared" si="3"/>
        <v>0</v>
      </c>
    </row>
    <row r="37" spans="1:13" ht="13" hidden="1" outlineLevel="1" x14ac:dyDescent="0.15">
      <c r="A37" s="198"/>
      <c r="B37" s="174"/>
      <c r="C37" s="4"/>
      <c r="D37" s="175"/>
      <c r="E37" s="175"/>
      <c r="F37" s="175"/>
      <c r="G37" s="175"/>
      <c r="H37" s="179"/>
      <c r="I37" s="175"/>
      <c r="J37" s="4"/>
      <c r="K37" s="4"/>
      <c r="L37" s="4"/>
      <c r="M37" s="180">
        <f t="shared" si="3"/>
        <v>0</v>
      </c>
    </row>
    <row r="38" spans="1:13" ht="13" hidden="1" outlineLevel="1" x14ac:dyDescent="0.15">
      <c r="A38" s="198"/>
      <c r="B38" s="174"/>
      <c r="C38" s="4"/>
      <c r="D38" s="175"/>
      <c r="E38" s="175"/>
      <c r="F38" s="175"/>
      <c r="G38" s="175"/>
      <c r="H38" s="179"/>
      <c r="I38" s="175"/>
      <c r="J38" s="4"/>
      <c r="K38" s="4"/>
      <c r="L38" s="4"/>
      <c r="M38" s="180">
        <f t="shared" si="3"/>
        <v>0</v>
      </c>
    </row>
    <row r="39" spans="1:13" ht="13" hidden="1" outlineLevel="1" x14ac:dyDescent="0.15">
      <c r="A39" s="198"/>
      <c r="B39" s="174"/>
      <c r="C39" s="4"/>
      <c r="D39" s="175"/>
      <c r="E39" s="175"/>
      <c r="F39" s="175"/>
      <c r="G39" s="175"/>
      <c r="H39" s="179"/>
      <c r="I39" s="175"/>
      <c r="J39" s="4"/>
      <c r="K39" s="4"/>
      <c r="L39" s="4"/>
      <c r="M39" s="180">
        <f t="shared" si="3"/>
        <v>0</v>
      </c>
    </row>
    <row r="40" spans="1:13" ht="13" hidden="1" outlineLevel="1" x14ac:dyDescent="0.15">
      <c r="A40" s="198"/>
      <c r="B40" s="174"/>
      <c r="C40" s="4"/>
      <c r="D40" s="175"/>
      <c r="E40" s="175"/>
      <c r="F40" s="175"/>
      <c r="G40" s="175"/>
      <c r="H40" s="179"/>
      <c r="I40" s="175"/>
      <c r="J40" s="4"/>
      <c r="K40" s="4"/>
      <c r="L40" s="4"/>
      <c r="M40" s="180">
        <f t="shared" si="3"/>
        <v>0</v>
      </c>
    </row>
    <row r="41" spans="1:13" ht="13" hidden="1" outlineLevel="1" x14ac:dyDescent="0.15">
      <c r="A41" s="198"/>
      <c r="B41" s="174"/>
      <c r="C41" s="4"/>
      <c r="D41" s="175"/>
      <c r="E41" s="175"/>
      <c r="F41" s="175"/>
      <c r="G41" s="175"/>
      <c r="H41" s="179"/>
      <c r="I41" s="175"/>
      <c r="J41" s="4"/>
      <c r="K41" s="4"/>
      <c r="L41" s="4"/>
      <c r="M41" s="180">
        <f t="shared" si="3"/>
        <v>0</v>
      </c>
    </row>
    <row r="42" spans="1:13" ht="13" hidden="1" outlineLevel="1" x14ac:dyDescent="0.15">
      <c r="A42" s="198"/>
      <c r="B42" s="174"/>
      <c r="C42" s="4"/>
      <c r="D42" s="175"/>
      <c r="E42" s="175"/>
      <c r="F42" s="175"/>
      <c r="G42" s="175"/>
      <c r="H42" s="179"/>
      <c r="I42" s="175"/>
      <c r="J42" s="4"/>
      <c r="K42" s="4"/>
      <c r="L42" s="4"/>
      <c r="M42" s="180">
        <f t="shared" si="3"/>
        <v>0</v>
      </c>
    </row>
    <row r="43" spans="1:13" ht="13" hidden="1" outlineLevel="1" x14ac:dyDescent="0.15">
      <c r="A43" s="198"/>
      <c r="B43" s="174"/>
      <c r="C43" s="4"/>
      <c r="D43" s="175"/>
      <c r="E43" s="175"/>
      <c r="F43" s="175"/>
      <c r="G43" s="175"/>
      <c r="H43" s="179"/>
      <c r="I43" s="175"/>
      <c r="J43" s="4"/>
      <c r="K43" s="4"/>
      <c r="L43" s="4"/>
      <c r="M43" s="180">
        <f t="shared" si="3"/>
        <v>0</v>
      </c>
    </row>
    <row r="44" spans="1:13" ht="13" hidden="1" outlineLevel="1" x14ac:dyDescent="0.15">
      <c r="A44" s="198"/>
      <c r="B44" s="174"/>
      <c r="C44" s="4"/>
      <c r="D44" s="175"/>
      <c r="E44" s="175"/>
      <c r="F44" s="175"/>
      <c r="G44" s="175"/>
      <c r="H44" s="179"/>
      <c r="I44" s="175"/>
      <c r="J44" s="4"/>
      <c r="K44" s="4"/>
      <c r="L44" s="4"/>
      <c r="M44" s="180">
        <f t="shared" si="3"/>
        <v>0</v>
      </c>
    </row>
    <row r="45" spans="1:13" ht="13" hidden="1" outlineLevel="1" x14ac:dyDescent="0.15">
      <c r="A45" s="198"/>
      <c r="B45" s="174"/>
      <c r="C45" s="4"/>
      <c r="D45" s="175"/>
      <c r="E45" s="175"/>
      <c r="F45" s="175"/>
      <c r="G45" s="175"/>
      <c r="H45" s="179"/>
      <c r="I45" s="175"/>
      <c r="J45" s="4"/>
      <c r="K45" s="4"/>
      <c r="L45" s="4"/>
      <c r="M45" s="180">
        <f t="shared" si="3"/>
        <v>0</v>
      </c>
    </row>
    <row r="46" spans="1:13" ht="13" hidden="1" outlineLevel="1" x14ac:dyDescent="0.15">
      <c r="A46" s="198"/>
      <c r="B46" s="174"/>
      <c r="C46" s="4"/>
      <c r="D46" s="175"/>
      <c r="E46" s="175"/>
      <c r="F46" s="175"/>
      <c r="G46" s="175"/>
      <c r="H46" s="179"/>
      <c r="I46" s="175"/>
      <c r="J46" s="4"/>
      <c r="K46" s="4"/>
      <c r="L46" s="4"/>
      <c r="M46" s="180">
        <f t="shared" si="3"/>
        <v>0</v>
      </c>
    </row>
    <row r="47" spans="1:13" ht="13" hidden="1" outlineLevel="1" x14ac:dyDescent="0.15">
      <c r="A47" s="198"/>
      <c r="B47" s="174"/>
      <c r="C47" s="4"/>
      <c r="D47" s="175"/>
      <c r="E47" s="175"/>
      <c r="F47" s="175"/>
      <c r="G47" s="175"/>
      <c r="H47" s="179"/>
      <c r="I47" s="175"/>
      <c r="J47" s="4"/>
      <c r="K47" s="4"/>
      <c r="L47" s="4"/>
      <c r="M47" s="180">
        <f t="shared" si="3"/>
        <v>0</v>
      </c>
    </row>
    <row r="48" spans="1:13" ht="13" hidden="1" outlineLevel="1" x14ac:dyDescent="0.15">
      <c r="A48" s="198"/>
      <c r="B48" s="174"/>
      <c r="C48" s="4"/>
      <c r="D48" s="183"/>
      <c r="E48" s="175"/>
      <c r="F48" s="175"/>
      <c r="G48" s="175"/>
      <c r="H48" s="179"/>
      <c r="I48" s="175"/>
      <c r="J48" s="4"/>
      <c r="K48" s="4"/>
      <c r="L48" s="4"/>
      <c r="M48" s="180">
        <f t="shared" si="3"/>
        <v>0</v>
      </c>
    </row>
    <row r="49" spans="1:13" ht="13" hidden="1" outlineLevel="1" x14ac:dyDescent="0.15">
      <c r="A49" s="198"/>
      <c r="B49" s="174"/>
      <c r="C49" s="4"/>
      <c r="D49" s="175"/>
      <c r="E49" s="175"/>
      <c r="F49" s="175"/>
      <c r="G49" s="175"/>
      <c r="H49" s="179"/>
      <c r="I49" s="175"/>
      <c r="J49" s="4"/>
      <c r="K49" s="4"/>
      <c r="L49" s="4"/>
      <c r="M49" s="180">
        <f t="shared" si="3"/>
        <v>0</v>
      </c>
    </row>
    <row r="50" spans="1:13" ht="13" hidden="1" outlineLevel="1" x14ac:dyDescent="0.15">
      <c r="A50" s="198"/>
      <c r="B50" s="174"/>
      <c r="C50" s="4"/>
      <c r="D50" s="175"/>
      <c r="E50" s="175"/>
      <c r="F50" s="175"/>
      <c r="G50" s="175"/>
      <c r="H50" s="179"/>
      <c r="I50" s="175"/>
      <c r="J50" s="4"/>
      <c r="K50" s="4"/>
      <c r="L50" s="4"/>
      <c r="M50" s="180">
        <f t="shared" si="3"/>
        <v>0</v>
      </c>
    </row>
    <row r="51" spans="1:13" ht="13" hidden="1" outlineLevel="1" x14ac:dyDescent="0.15">
      <c r="A51" s="198"/>
      <c r="B51" s="174"/>
      <c r="C51" s="4"/>
      <c r="D51" s="175"/>
      <c r="E51" s="175"/>
      <c r="F51" s="175"/>
      <c r="G51" s="175"/>
      <c r="H51" s="182"/>
      <c r="I51" s="175"/>
      <c r="J51" s="4"/>
      <c r="K51" s="4"/>
      <c r="L51" s="4"/>
      <c r="M51" s="180">
        <f t="shared" si="3"/>
        <v>0</v>
      </c>
    </row>
    <row r="52" spans="1:13" ht="13" hidden="1" outlineLevel="1" x14ac:dyDescent="0.15">
      <c r="A52" s="198"/>
      <c r="B52" s="174"/>
      <c r="C52" s="4"/>
      <c r="D52" s="175"/>
      <c r="E52" s="175"/>
      <c r="F52" s="175"/>
      <c r="G52" s="175"/>
      <c r="H52" s="179"/>
      <c r="I52" s="175"/>
      <c r="J52" s="4"/>
      <c r="K52" s="4"/>
      <c r="L52" s="4"/>
      <c r="M52" s="180">
        <f t="shared" si="3"/>
        <v>0</v>
      </c>
    </row>
    <row r="53" spans="1:13" ht="13" hidden="1" outlineLevel="1" x14ac:dyDescent="0.15">
      <c r="A53" s="198"/>
      <c r="B53" s="174"/>
      <c r="C53" s="175"/>
      <c r="D53" s="175"/>
      <c r="E53" s="175"/>
      <c r="F53" s="175"/>
      <c r="G53" s="175"/>
      <c r="H53" s="179"/>
      <c r="I53" s="175"/>
      <c r="J53" s="4"/>
      <c r="K53" s="4"/>
      <c r="L53" s="4"/>
      <c r="M53" s="180">
        <f t="shared" si="3"/>
        <v>0</v>
      </c>
    </row>
    <row r="54" spans="1:13" ht="15" x14ac:dyDescent="0.15">
      <c r="A54" s="198"/>
      <c r="B54" s="172" t="s">
        <v>74</v>
      </c>
      <c r="C54" s="173">
        <f t="shared" ref="C54:M54" si="4">C2+C11</f>
        <v>123000</v>
      </c>
      <c r="D54" s="173">
        <f t="shared" si="4"/>
        <v>2</v>
      </c>
      <c r="E54" s="173">
        <f t="shared" si="4"/>
        <v>3</v>
      </c>
      <c r="F54" s="173">
        <f t="shared" si="4"/>
        <v>4</v>
      </c>
      <c r="G54" s="173">
        <f t="shared" si="4"/>
        <v>5</v>
      </c>
      <c r="H54" s="173">
        <f t="shared" si="4"/>
        <v>0</v>
      </c>
      <c r="I54" s="173">
        <f t="shared" si="4"/>
        <v>6</v>
      </c>
      <c r="J54" s="173">
        <f t="shared" si="4"/>
        <v>0</v>
      </c>
      <c r="K54" s="173">
        <f t="shared" si="4"/>
        <v>0</v>
      </c>
      <c r="L54" s="173">
        <f t="shared" si="4"/>
        <v>0</v>
      </c>
      <c r="M54" s="173">
        <f t="shared" si="4"/>
        <v>123020</v>
      </c>
    </row>
    <row r="55" spans="1:13" ht="14" x14ac:dyDescent="0.15">
      <c r="A55" s="198"/>
      <c r="B55" s="184" t="s">
        <v>75</v>
      </c>
      <c r="C55" s="185">
        <f t="shared" ref="C55:K55" si="5">IFERROR(C54/C$2,"")</f>
        <v>0.82</v>
      </c>
      <c r="D55" s="185">
        <f t="shared" si="5"/>
        <v>1</v>
      </c>
      <c r="E55" s="185">
        <f t="shared" si="5"/>
        <v>1</v>
      </c>
      <c r="F55" s="185">
        <f t="shared" si="5"/>
        <v>1</v>
      </c>
      <c r="G55" s="185">
        <f t="shared" si="5"/>
        <v>1</v>
      </c>
      <c r="H55" s="185" t="str">
        <f t="shared" si="5"/>
        <v/>
      </c>
      <c r="I55" s="185">
        <f t="shared" si="5"/>
        <v>1</v>
      </c>
      <c r="J55" s="185" t="str">
        <f t="shared" si="5"/>
        <v/>
      </c>
      <c r="K55" s="185" t="str">
        <f t="shared" si="5"/>
        <v/>
      </c>
      <c r="L55" s="185"/>
      <c r="M55" s="185">
        <f>IFERROR(M54/M$2,"")</f>
        <v>0.82002399680042659</v>
      </c>
    </row>
    <row r="56" spans="1:13" ht="13" x14ac:dyDescent="0.15">
      <c r="A56" s="198"/>
      <c r="B56" s="174"/>
      <c r="C56" s="175"/>
      <c r="D56" s="175"/>
      <c r="E56" s="175"/>
      <c r="F56" s="175"/>
      <c r="G56" s="175"/>
      <c r="H56" s="175"/>
      <c r="I56" s="175"/>
      <c r="J56" s="4"/>
      <c r="K56" s="4"/>
      <c r="L56" s="4"/>
      <c r="M56" s="4"/>
    </row>
    <row r="57" spans="1:13" ht="14" x14ac:dyDescent="0.15">
      <c r="A57" s="198"/>
      <c r="B57" s="177" t="s">
        <v>76</v>
      </c>
      <c r="C57" s="178">
        <f t="shared" ref="C57:M57" si="6">SUM(C58:C78)</f>
        <v>-50000</v>
      </c>
      <c r="D57" s="178">
        <f t="shared" si="6"/>
        <v>0</v>
      </c>
      <c r="E57" s="178">
        <f t="shared" si="6"/>
        <v>0</v>
      </c>
      <c r="F57" s="178">
        <f t="shared" si="6"/>
        <v>0</v>
      </c>
      <c r="G57" s="178">
        <f t="shared" si="6"/>
        <v>0</v>
      </c>
      <c r="H57" s="178">
        <f t="shared" si="6"/>
        <v>0</v>
      </c>
      <c r="I57" s="178">
        <f t="shared" si="6"/>
        <v>0</v>
      </c>
      <c r="J57" s="178">
        <f t="shared" si="6"/>
        <v>0</v>
      </c>
      <c r="K57" s="178">
        <f t="shared" si="6"/>
        <v>0</v>
      </c>
      <c r="L57" s="178">
        <f t="shared" si="6"/>
        <v>0</v>
      </c>
      <c r="M57" s="178">
        <f t="shared" si="6"/>
        <v>-50000</v>
      </c>
    </row>
    <row r="58" spans="1:13" ht="14" x14ac:dyDescent="0.15">
      <c r="A58" s="198"/>
      <c r="B58" s="174" t="str">
        <f ca="1">IFERROR(__xludf.DUMMYFUNCTION("iferror(filter('Статьи'!$A$1:$A182,'Статьи'!$B$1:$B182=$B$57))"),"")</f>
        <v/>
      </c>
      <c r="C58" s="179"/>
      <c r="D58" s="182"/>
      <c r="E58" s="179"/>
      <c r="F58" s="179"/>
      <c r="G58" s="179"/>
      <c r="H58" s="179"/>
      <c r="I58" s="175"/>
      <c r="J58" s="4"/>
      <c r="K58" s="4"/>
      <c r="L58" s="4"/>
      <c r="M58" s="176">
        <f t="shared" ref="M58:M88" si="7">SUM(C58:L58)</f>
        <v>0</v>
      </c>
    </row>
    <row r="59" spans="1:13" ht="13" x14ac:dyDescent="0.15">
      <c r="A59" s="198"/>
      <c r="B59" s="174"/>
      <c r="C59" s="182"/>
      <c r="D59" s="182"/>
      <c r="E59" s="179"/>
      <c r="F59" s="179"/>
      <c r="G59" s="179"/>
      <c r="H59" s="182"/>
      <c r="I59" s="175"/>
      <c r="J59" s="4"/>
      <c r="K59" s="4"/>
      <c r="L59" s="4"/>
      <c r="M59" s="176">
        <f t="shared" si="7"/>
        <v>0</v>
      </c>
    </row>
    <row r="60" spans="1:13" ht="13" x14ac:dyDescent="0.15">
      <c r="A60" s="198"/>
      <c r="B60" s="174"/>
      <c r="C60" s="182"/>
      <c r="D60" s="182"/>
      <c r="E60" s="179"/>
      <c r="F60" s="179"/>
      <c r="G60" s="179"/>
      <c r="H60" s="182"/>
      <c r="I60" s="175"/>
      <c r="J60" s="4"/>
      <c r="K60" s="4"/>
      <c r="L60" s="4"/>
      <c r="M60" s="176">
        <f t="shared" si="7"/>
        <v>0</v>
      </c>
    </row>
    <row r="61" spans="1:13" ht="13" x14ac:dyDescent="0.15">
      <c r="A61" s="198"/>
      <c r="B61" s="174"/>
      <c r="C61" s="182">
        <v>-50000</v>
      </c>
      <c r="D61" s="182"/>
      <c r="E61" s="179"/>
      <c r="F61" s="179"/>
      <c r="G61" s="179"/>
      <c r="H61" s="182"/>
      <c r="I61" s="175"/>
      <c r="J61" s="4"/>
      <c r="K61" s="4"/>
      <c r="L61" s="4"/>
      <c r="M61" s="176">
        <f t="shared" si="7"/>
        <v>-50000</v>
      </c>
    </row>
    <row r="62" spans="1:13" ht="13" x14ac:dyDescent="0.15">
      <c r="A62" s="198"/>
      <c r="B62" s="174"/>
      <c r="C62" s="182"/>
      <c r="D62" s="182"/>
      <c r="E62" s="179"/>
      <c r="F62" s="179"/>
      <c r="G62" s="179"/>
      <c r="H62" s="182"/>
      <c r="I62" s="175"/>
      <c r="J62" s="4"/>
      <c r="K62" s="4"/>
      <c r="L62" s="4"/>
      <c r="M62" s="176">
        <f t="shared" si="7"/>
        <v>0</v>
      </c>
    </row>
    <row r="63" spans="1:13" ht="13" x14ac:dyDescent="0.15">
      <c r="A63" s="198"/>
      <c r="B63" s="174"/>
      <c r="C63" s="182"/>
      <c r="D63" s="182"/>
      <c r="E63" s="179"/>
      <c r="F63" s="179"/>
      <c r="G63" s="179"/>
      <c r="H63" s="182"/>
      <c r="I63" s="175"/>
      <c r="J63" s="4"/>
      <c r="K63" s="4"/>
      <c r="L63" s="4"/>
      <c r="M63" s="176">
        <f t="shared" si="7"/>
        <v>0</v>
      </c>
    </row>
    <row r="64" spans="1:13" ht="13" x14ac:dyDescent="0.15">
      <c r="A64" s="198"/>
      <c r="B64" s="174"/>
      <c r="C64" s="182"/>
      <c r="D64" s="182"/>
      <c r="E64" s="179"/>
      <c r="F64" s="179"/>
      <c r="G64" s="179"/>
      <c r="H64" s="182"/>
      <c r="I64" s="175"/>
      <c r="J64" s="4"/>
      <c r="K64" s="4"/>
      <c r="L64" s="4"/>
      <c r="M64" s="176">
        <f t="shared" si="7"/>
        <v>0</v>
      </c>
    </row>
    <row r="65" spans="1:13" ht="13" x14ac:dyDescent="0.15">
      <c r="A65" s="198"/>
      <c r="B65" s="174"/>
      <c r="C65" s="182"/>
      <c r="D65" s="182"/>
      <c r="E65" s="179"/>
      <c r="F65" s="179"/>
      <c r="G65" s="179"/>
      <c r="H65" s="182"/>
      <c r="I65" s="175"/>
      <c r="J65" s="4"/>
      <c r="K65" s="4"/>
      <c r="L65" s="4"/>
      <c r="M65" s="176">
        <f t="shared" si="7"/>
        <v>0</v>
      </c>
    </row>
    <row r="66" spans="1:13" ht="13" x14ac:dyDescent="0.15">
      <c r="A66" s="198"/>
      <c r="B66" s="174"/>
      <c r="C66" s="182"/>
      <c r="D66" s="182"/>
      <c r="E66" s="179"/>
      <c r="F66" s="179"/>
      <c r="G66" s="179"/>
      <c r="H66" s="182"/>
      <c r="I66" s="175"/>
      <c r="J66" s="4"/>
      <c r="K66" s="4"/>
      <c r="L66" s="4"/>
      <c r="M66" s="176">
        <f t="shared" si="7"/>
        <v>0</v>
      </c>
    </row>
    <row r="67" spans="1:13" ht="13" x14ac:dyDescent="0.15">
      <c r="A67" s="198"/>
      <c r="B67" s="174"/>
      <c r="C67" s="182"/>
      <c r="D67" s="182"/>
      <c r="E67" s="179"/>
      <c r="F67" s="179"/>
      <c r="G67" s="179"/>
      <c r="H67" s="182"/>
      <c r="I67" s="175"/>
      <c r="J67" s="4"/>
      <c r="K67" s="4"/>
      <c r="L67" s="4"/>
      <c r="M67" s="176">
        <f t="shared" si="7"/>
        <v>0</v>
      </c>
    </row>
    <row r="68" spans="1:13" ht="13" x14ac:dyDescent="0.15">
      <c r="A68" s="198"/>
      <c r="B68" s="174"/>
      <c r="C68" s="182"/>
      <c r="D68" s="182"/>
      <c r="E68" s="179"/>
      <c r="F68" s="179"/>
      <c r="G68" s="179"/>
      <c r="H68" s="182"/>
      <c r="I68" s="175"/>
      <c r="J68" s="4"/>
      <c r="K68" s="4"/>
      <c r="L68" s="4"/>
      <c r="M68" s="176">
        <f t="shared" si="7"/>
        <v>0</v>
      </c>
    </row>
    <row r="69" spans="1:13" ht="13" x14ac:dyDescent="0.15">
      <c r="A69" s="198"/>
      <c r="B69" s="174"/>
      <c r="C69" s="182"/>
      <c r="D69" s="182"/>
      <c r="E69" s="179"/>
      <c r="F69" s="179"/>
      <c r="G69" s="179"/>
      <c r="H69" s="182"/>
      <c r="I69" s="175"/>
      <c r="J69" s="4"/>
      <c r="K69" s="4"/>
      <c r="L69" s="4"/>
      <c r="M69" s="176">
        <f t="shared" si="7"/>
        <v>0</v>
      </c>
    </row>
    <row r="70" spans="1:13" ht="13" x14ac:dyDescent="0.15">
      <c r="A70" s="198"/>
      <c r="B70" s="174"/>
      <c r="C70" s="182"/>
      <c r="D70" s="182"/>
      <c r="E70" s="179"/>
      <c r="F70" s="179"/>
      <c r="G70" s="179"/>
      <c r="H70" s="182"/>
      <c r="I70" s="175"/>
      <c r="J70" s="4"/>
      <c r="K70" s="4"/>
      <c r="L70" s="4"/>
      <c r="M70" s="176">
        <f t="shared" si="7"/>
        <v>0</v>
      </c>
    </row>
    <row r="71" spans="1:13" ht="13" x14ac:dyDescent="0.15">
      <c r="A71" s="198"/>
      <c r="B71" s="174"/>
      <c r="C71" s="182"/>
      <c r="D71" s="182"/>
      <c r="E71" s="179"/>
      <c r="F71" s="179"/>
      <c r="G71" s="179"/>
      <c r="H71" s="182"/>
      <c r="I71" s="175"/>
      <c r="J71" s="4"/>
      <c r="K71" s="4"/>
      <c r="L71" s="4"/>
      <c r="M71" s="176">
        <f t="shared" si="7"/>
        <v>0</v>
      </c>
    </row>
    <row r="72" spans="1:13" ht="13" x14ac:dyDescent="0.15">
      <c r="A72" s="198"/>
      <c r="B72" s="174"/>
      <c r="C72" s="182"/>
      <c r="D72" s="182"/>
      <c r="E72" s="179"/>
      <c r="F72" s="179"/>
      <c r="G72" s="179"/>
      <c r="H72" s="182"/>
      <c r="I72" s="175"/>
      <c r="J72" s="4"/>
      <c r="K72" s="4"/>
      <c r="L72" s="4"/>
      <c r="M72" s="176">
        <f t="shared" si="7"/>
        <v>0</v>
      </c>
    </row>
    <row r="73" spans="1:13" ht="13" x14ac:dyDescent="0.15">
      <c r="A73" s="198"/>
      <c r="B73" s="174"/>
      <c r="C73" s="182"/>
      <c r="D73" s="182"/>
      <c r="E73" s="179"/>
      <c r="F73" s="179"/>
      <c r="G73" s="179"/>
      <c r="H73" s="182"/>
      <c r="I73" s="175"/>
      <c r="J73" s="4"/>
      <c r="K73" s="4"/>
      <c r="L73" s="4"/>
      <c r="M73" s="176">
        <f t="shared" si="7"/>
        <v>0</v>
      </c>
    </row>
    <row r="74" spans="1:13" ht="13" x14ac:dyDescent="0.15">
      <c r="A74" s="198"/>
      <c r="B74" s="174"/>
      <c r="C74" s="182"/>
      <c r="D74" s="182"/>
      <c r="E74" s="179"/>
      <c r="F74" s="179"/>
      <c r="G74" s="179"/>
      <c r="H74" s="182"/>
      <c r="I74" s="175"/>
      <c r="J74" s="4"/>
      <c r="K74" s="4"/>
      <c r="L74" s="4"/>
      <c r="M74" s="176">
        <f t="shared" si="7"/>
        <v>0</v>
      </c>
    </row>
    <row r="75" spans="1:13" ht="13" x14ac:dyDescent="0.15">
      <c r="A75" s="198"/>
      <c r="B75" s="174"/>
      <c r="C75" s="179"/>
      <c r="D75" s="179"/>
      <c r="E75" s="182"/>
      <c r="F75" s="179"/>
      <c r="G75" s="179"/>
      <c r="H75" s="179"/>
      <c r="I75" s="175"/>
      <c r="J75" s="4"/>
      <c r="K75" s="4"/>
      <c r="L75" s="4"/>
      <c r="M75" s="176">
        <f t="shared" si="7"/>
        <v>0</v>
      </c>
    </row>
    <row r="76" spans="1:13" ht="13" x14ac:dyDescent="0.15">
      <c r="A76" s="198"/>
      <c r="B76" s="174"/>
      <c r="C76" s="182"/>
      <c r="D76" s="179"/>
      <c r="E76" s="179"/>
      <c r="F76" s="179"/>
      <c r="G76" s="179"/>
      <c r="H76" s="179"/>
      <c r="I76" s="175"/>
      <c r="J76" s="4"/>
      <c r="K76" s="4"/>
      <c r="L76" s="4"/>
      <c r="M76" s="176">
        <f t="shared" si="7"/>
        <v>0</v>
      </c>
    </row>
    <row r="77" spans="1:13" ht="13" x14ac:dyDescent="0.15">
      <c r="A77" s="198"/>
      <c r="B77" s="167"/>
      <c r="C77" s="175"/>
      <c r="D77" s="175"/>
      <c r="E77" s="175"/>
      <c r="F77" s="175"/>
      <c r="G77" s="175"/>
      <c r="H77" s="182"/>
      <c r="I77" s="175"/>
      <c r="J77" s="4"/>
      <c r="K77" s="4"/>
      <c r="L77" s="4"/>
      <c r="M77" s="176">
        <f t="shared" si="7"/>
        <v>0</v>
      </c>
    </row>
    <row r="78" spans="1:13" ht="13" x14ac:dyDescent="0.15">
      <c r="A78" s="198"/>
      <c r="B78" s="174"/>
      <c r="C78" s="175"/>
      <c r="D78" s="175"/>
      <c r="E78" s="175"/>
      <c r="F78" s="175"/>
      <c r="G78" s="175"/>
      <c r="H78" s="175"/>
      <c r="I78" s="175"/>
      <c r="J78" s="4"/>
      <c r="K78" s="4"/>
      <c r="L78" s="4"/>
      <c r="M78" s="176">
        <f t="shared" si="7"/>
        <v>0</v>
      </c>
    </row>
    <row r="79" spans="1:13" ht="13" x14ac:dyDescent="0.15">
      <c r="A79" s="198"/>
      <c r="B79" s="174"/>
      <c r="C79" s="175"/>
      <c r="D79" s="175"/>
      <c r="E79" s="175"/>
      <c r="F79" s="175"/>
      <c r="G79" s="175"/>
      <c r="H79" s="175"/>
      <c r="I79" s="175"/>
      <c r="J79" s="4"/>
      <c r="K79" s="4"/>
      <c r="L79" s="4"/>
      <c r="M79" s="176">
        <f t="shared" si="7"/>
        <v>0</v>
      </c>
    </row>
    <row r="80" spans="1:13" ht="13" x14ac:dyDescent="0.15">
      <c r="A80" s="198"/>
      <c r="B80" s="174"/>
      <c r="C80" s="175"/>
      <c r="D80" s="175"/>
      <c r="E80" s="175"/>
      <c r="F80" s="175"/>
      <c r="G80" s="175"/>
      <c r="H80" s="175"/>
      <c r="I80" s="175"/>
      <c r="J80" s="4"/>
      <c r="K80" s="4"/>
      <c r="L80" s="4"/>
      <c r="M80" s="176">
        <f t="shared" si="7"/>
        <v>0</v>
      </c>
    </row>
    <row r="81" spans="1:13" ht="13" x14ac:dyDescent="0.15">
      <c r="A81" s="198"/>
      <c r="B81" s="174"/>
      <c r="C81" s="175"/>
      <c r="D81" s="175"/>
      <c r="E81" s="175"/>
      <c r="F81" s="175"/>
      <c r="G81" s="175"/>
      <c r="H81" s="175"/>
      <c r="I81" s="175"/>
      <c r="J81" s="4"/>
      <c r="K81" s="4"/>
      <c r="L81" s="4"/>
      <c r="M81" s="176">
        <f t="shared" si="7"/>
        <v>0</v>
      </c>
    </row>
    <row r="82" spans="1:13" ht="13" x14ac:dyDescent="0.15">
      <c r="A82" s="198"/>
      <c r="B82" s="174"/>
      <c r="C82" s="175"/>
      <c r="D82" s="175"/>
      <c r="E82" s="175"/>
      <c r="F82" s="175"/>
      <c r="G82" s="175"/>
      <c r="H82" s="175"/>
      <c r="I82" s="175"/>
      <c r="J82" s="4"/>
      <c r="K82" s="4"/>
      <c r="L82" s="4"/>
      <c r="M82" s="176">
        <f t="shared" si="7"/>
        <v>0</v>
      </c>
    </row>
    <row r="83" spans="1:13" ht="13" x14ac:dyDescent="0.15">
      <c r="A83" s="198"/>
      <c r="B83" s="174"/>
      <c r="C83" s="175"/>
      <c r="D83" s="175"/>
      <c r="E83" s="175"/>
      <c r="F83" s="175"/>
      <c r="G83" s="175"/>
      <c r="H83" s="175"/>
      <c r="I83" s="175"/>
      <c r="J83" s="4"/>
      <c r="K83" s="4"/>
      <c r="L83" s="4"/>
      <c r="M83" s="176">
        <f t="shared" si="7"/>
        <v>0</v>
      </c>
    </row>
    <row r="84" spans="1:13" ht="13" x14ac:dyDescent="0.15">
      <c r="A84" s="198"/>
      <c r="B84" s="174"/>
      <c r="C84" s="175"/>
      <c r="D84" s="175"/>
      <c r="E84" s="175"/>
      <c r="F84" s="175"/>
      <c r="G84" s="175"/>
      <c r="H84" s="175"/>
      <c r="I84" s="175"/>
      <c r="J84" s="4"/>
      <c r="K84" s="4"/>
      <c r="L84" s="4"/>
      <c r="M84" s="176">
        <f t="shared" si="7"/>
        <v>0</v>
      </c>
    </row>
    <row r="85" spans="1:13" ht="13" outlineLevel="1" x14ac:dyDescent="0.15">
      <c r="A85" s="198"/>
      <c r="B85" s="174"/>
      <c r="C85" s="175"/>
      <c r="D85" s="175"/>
      <c r="E85" s="175"/>
      <c r="F85" s="175"/>
      <c r="G85" s="175"/>
      <c r="H85" s="175"/>
      <c r="I85" s="175"/>
      <c r="J85" s="4"/>
      <c r="K85" s="4"/>
      <c r="L85" s="4"/>
      <c r="M85" s="176">
        <f t="shared" si="7"/>
        <v>0</v>
      </c>
    </row>
    <row r="86" spans="1:13" ht="13" outlineLevel="1" x14ac:dyDescent="0.15">
      <c r="A86" s="198"/>
      <c r="B86" s="186"/>
      <c r="C86" s="175"/>
      <c r="D86" s="175"/>
      <c r="E86" s="175"/>
      <c r="F86" s="175"/>
      <c r="G86" s="175"/>
      <c r="H86" s="175"/>
      <c r="I86" s="175"/>
      <c r="J86" s="4"/>
      <c r="K86" s="4"/>
      <c r="L86" s="4"/>
      <c r="M86" s="176">
        <f t="shared" si="7"/>
        <v>0</v>
      </c>
    </row>
    <row r="87" spans="1:13" ht="13" outlineLevel="1" x14ac:dyDescent="0.15">
      <c r="A87" s="198"/>
      <c r="B87" s="174"/>
      <c r="C87" s="175"/>
      <c r="D87" s="175"/>
      <c r="E87" s="175"/>
      <c r="F87" s="175"/>
      <c r="G87" s="175"/>
      <c r="H87" s="175"/>
      <c r="I87" s="175"/>
      <c r="J87" s="4"/>
      <c r="K87" s="4"/>
      <c r="L87" s="4"/>
      <c r="M87" s="176">
        <f t="shared" si="7"/>
        <v>0</v>
      </c>
    </row>
    <row r="88" spans="1:13" ht="13" outlineLevel="1" x14ac:dyDescent="0.15">
      <c r="A88" s="198"/>
      <c r="B88" s="174"/>
      <c r="C88" s="175"/>
      <c r="D88" s="175"/>
      <c r="E88" s="175"/>
      <c r="F88" s="175"/>
      <c r="G88" s="175"/>
      <c r="H88" s="175"/>
      <c r="I88" s="175"/>
      <c r="J88" s="4"/>
      <c r="K88" s="4"/>
      <c r="L88" s="4"/>
      <c r="M88" s="176">
        <f t="shared" si="7"/>
        <v>0</v>
      </c>
    </row>
    <row r="89" spans="1:13" ht="15" x14ac:dyDescent="0.15">
      <c r="A89" s="198"/>
      <c r="B89" s="172" t="s">
        <v>77</v>
      </c>
      <c r="C89" s="187">
        <f t="shared" ref="C89:M89" si="8">C54+C57</f>
        <v>73000</v>
      </c>
      <c r="D89" s="187">
        <f t="shared" si="8"/>
        <v>2</v>
      </c>
      <c r="E89" s="187">
        <f t="shared" si="8"/>
        <v>3</v>
      </c>
      <c r="F89" s="187">
        <f t="shared" si="8"/>
        <v>4</v>
      </c>
      <c r="G89" s="187">
        <f t="shared" si="8"/>
        <v>5</v>
      </c>
      <c r="H89" s="187">
        <f t="shared" si="8"/>
        <v>0</v>
      </c>
      <c r="I89" s="187">
        <f t="shared" si="8"/>
        <v>6</v>
      </c>
      <c r="J89" s="187">
        <f t="shared" si="8"/>
        <v>0</v>
      </c>
      <c r="K89" s="187">
        <f t="shared" si="8"/>
        <v>0</v>
      </c>
      <c r="L89" s="187">
        <f t="shared" si="8"/>
        <v>0</v>
      </c>
      <c r="M89" s="187">
        <f t="shared" si="8"/>
        <v>73020</v>
      </c>
    </row>
    <row r="90" spans="1:13" ht="28" x14ac:dyDescent="0.15">
      <c r="A90" s="184"/>
      <c r="B90" s="184" t="s">
        <v>9</v>
      </c>
      <c r="C90" s="185">
        <f t="shared" ref="C90:M90" si="9">IFERROR(C89/C$2,"")</f>
        <v>0.48666666666666669</v>
      </c>
      <c r="D90" s="185">
        <f t="shared" si="9"/>
        <v>1</v>
      </c>
      <c r="E90" s="185">
        <f t="shared" si="9"/>
        <v>1</v>
      </c>
      <c r="F90" s="185">
        <f t="shared" si="9"/>
        <v>1</v>
      </c>
      <c r="G90" s="185">
        <f t="shared" si="9"/>
        <v>1</v>
      </c>
      <c r="H90" s="185" t="str">
        <f t="shared" si="9"/>
        <v/>
      </c>
      <c r="I90" s="185">
        <f t="shared" si="9"/>
        <v>1</v>
      </c>
      <c r="J90" s="185" t="str">
        <f t="shared" si="9"/>
        <v/>
      </c>
      <c r="K90" s="185" t="str">
        <f t="shared" si="9"/>
        <v/>
      </c>
      <c r="L90" s="185" t="str">
        <f t="shared" si="9"/>
        <v/>
      </c>
      <c r="M90" s="185">
        <f t="shared" si="9"/>
        <v>0.4867351019864018</v>
      </c>
    </row>
    <row r="91" spans="1:13" ht="13" x14ac:dyDescent="0.15">
      <c r="A91" s="204" t="s">
        <v>78</v>
      </c>
      <c r="B91" s="188" t="s">
        <v>79</v>
      </c>
      <c r="C91" s="189">
        <f>M89</f>
        <v>73020</v>
      </c>
      <c r="D91" s="190"/>
      <c r="E91" s="190"/>
      <c r="F91" s="190"/>
      <c r="G91" s="190"/>
      <c r="H91" s="190"/>
      <c r="I91" s="190"/>
      <c r="J91" s="4"/>
      <c r="K91" s="4"/>
      <c r="L91" s="4"/>
      <c r="M91" s="4"/>
    </row>
    <row r="92" spans="1:13" ht="14" x14ac:dyDescent="0.15">
      <c r="A92" s="198"/>
      <c r="B92" s="191" t="s">
        <v>80</v>
      </c>
      <c r="C92" s="205">
        <f>C107+C138</f>
        <v>0</v>
      </c>
      <c r="D92" s="198"/>
      <c r="E92" s="198"/>
      <c r="F92" s="198"/>
      <c r="G92" s="198"/>
      <c r="H92" s="198"/>
      <c r="I92" s="198"/>
      <c r="J92" s="198"/>
      <c r="K92" s="198"/>
      <c r="L92" s="198"/>
      <c r="M92" s="192">
        <f>SUM(C92)</f>
        <v>0</v>
      </c>
    </row>
    <row r="93" spans="1:13" ht="14" x14ac:dyDescent="0.15">
      <c r="A93" s="198"/>
      <c r="B93" s="177" t="s">
        <v>81</v>
      </c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</row>
    <row r="94" spans="1:13" ht="14" x14ac:dyDescent="0.15">
      <c r="A94" s="198"/>
      <c r="B94" s="174" t="s">
        <v>82</v>
      </c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</row>
    <row r="95" spans="1:13" ht="14" x14ac:dyDescent="0.15">
      <c r="A95" s="198"/>
      <c r="B95" s="174" t="s">
        <v>83</v>
      </c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</row>
    <row r="96" spans="1:13" ht="14" x14ac:dyDescent="0.15">
      <c r="A96" s="198"/>
      <c r="B96" s="174" t="s">
        <v>84</v>
      </c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</row>
    <row r="97" spans="1:13" ht="28" x14ac:dyDescent="0.15">
      <c r="A97" s="198"/>
      <c r="B97" s="174" t="s">
        <v>85</v>
      </c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</row>
    <row r="98" spans="1:13" ht="14" x14ac:dyDescent="0.15">
      <c r="A98" s="198"/>
      <c r="B98" s="174" t="s">
        <v>86</v>
      </c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</row>
    <row r="99" spans="1:13" ht="13" x14ac:dyDescent="0.15">
      <c r="A99" s="198"/>
      <c r="B99" s="174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</row>
    <row r="100" spans="1:13" ht="13" x14ac:dyDescent="0.15">
      <c r="A100" s="198"/>
      <c r="B100" s="174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</row>
    <row r="101" spans="1:13" ht="13" x14ac:dyDescent="0.15">
      <c r="A101" s="198"/>
      <c r="B101" s="174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</row>
    <row r="102" spans="1:13" ht="13" x14ac:dyDescent="0.15">
      <c r="A102" s="198"/>
      <c r="B102" s="174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</row>
    <row r="103" spans="1:13" ht="13" x14ac:dyDescent="0.15">
      <c r="A103" s="198"/>
      <c r="B103" s="174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</row>
    <row r="104" spans="1:13" ht="13" x14ac:dyDescent="0.15">
      <c r="A104" s="198"/>
      <c r="B104" s="174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</row>
    <row r="105" spans="1:13" ht="13" x14ac:dyDescent="0.15">
      <c r="A105" s="198"/>
      <c r="B105" s="174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</row>
    <row r="106" spans="1:13" ht="13" x14ac:dyDescent="0.15">
      <c r="A106" s="198"/>
      <c r="B106" s="174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</row>
    <row r="107" spans="1:13" ht="14" x14ac:dyDescent="0.15">
      <c r="A107" s="198"/>
      <c r="B107" s="177" t="s">
        <v>87</v>
      </c>
      <c r="C107" s="202">
        <f>SUM(C108:L137)</f>
        <v>0</v>
      </c>
      <c r="D107" s="198"/>
      <c r="E107" s="198"/>
      <c r="F107" s="198"/>
      <c r="G107" s="198"/>
      <c r="H107" s="198"/>
      <c r="I107" s="198"/>
      <c r="J107" s="198"/>
      <c r="K107" s="198"/>
      <c r="L107" s="198"/>
      <c r="M107" s="178">
        <f>SUM(C107:L107)</f>
        <v>0</v>
      </c>
    </row>
    <row r="108" spans="1:13" ht="14" x14ac:dyDescent="0.15">
      <c r="A108" s="198"/>
      <c r="B108" s="174" t="str">
        <f ca="1">IFERROR(__xludf.DUMMYFUNCTION("iferror(filter('Статьи'!$A$1:$A182,'Статьи'!$B$1:$B182=$B$107))"),"")</f>
        <v/>
      </c>
      <c r="C108" s="199"/>
      <c r="D108" s="198"/>
      <c r="E108" s="198"/>
      <c r="F108" s="198"/>
      <c r="G108" s="198"/>
      <c r="H108" s="198"/>
      <c r="I108" s="198"/>
      <c r="J108" s="198"/>
      <c r="K108" s="198"/>
      <c r="L108" s="198"/>
      <c r="M108" s="182">
        <f t="shared" ref="M108:M121" si="10">SUM(C108)</f>
        <v>0</v>
      </c>
    </row>
    <row r="109" spans="1:13" ht="14" x14ac:dyDescent="0.2">
      <c r="A109" s="198"/>
      <c r="B109" s="193"/>
      <c r="C109" s="199"/>
      <c r="D109" s="198"/>
      <c r="E109" s="198"/>
      <c r="F109" s="198"/>
      <c r="G109" s="198"/>
      <c r="H109" s="198"/>
      <c r="I109" s="198"/>
      <c r="J109" s="198"/>
      <c r="K109" s="198"/>
      <c r="L109" s="198"/>
      <c r="M109" s="182">
        <f t="shared" si="10"/>
        <v>0</v>
      </c>
    </row>
    <row r="110" spans="1:13" ht="14" x14ac:dyDescent="0.2">
      <c r="A110" s="198"/>
      <c r="B110" s="193"/>
      <c r="C110" s="199"/>
      <c r="D110" s="198"/>
      <c r="E110" s="198"/>
      <c r="F110" s="198"/>
      <c r="G110" s="198"/>
      <c r="H110" s="198"/>
      <c r="I110" s="198"/>
      <c r="J110" s="198"/>
      <c r="K110" s="198"/>
      <c r="L110" s="198"/>
      <c r="M110" s="182">
        <f t="shared" si="10"/>
        <v>0</v>
      </c>
    </row>
    <row r="111" spans="1:13" ht="14" x14ac:dyDescent="0.2">
      <c r="A111" s="198"/>
      <c r="B111" s="194"/>
      <c r="C111" s="199"/>
      <c r="D111" s="198"/>
      <c r="E111" s="198"/>
      <c r="F111" s="198"/>
      <c r="G111" s="198"/>
      <c r="H111" s="198"/>
      <c r="I111" s="198"/>
      <c r="J111" s="198"/>
      <c r="K111" s="198"/>
      <c r="L111" s="198"/>
      <c r="M111" s="182">
        <f t="shared" si="10"/>
        <v>0</v>
      </c>
    </row>
    <row r="112" spans="1:13" ht="14" x14ac:dyDescent="0.2">
      <c r="A112" s="198"/>
      <c r="B112" s="193"/>
      <c r="C112" s="199"/>
      <c r="D112" s="198"/>
      <c r="E112" s="198"/>
      <c r="F112" s="198"/>
      <c r="G112" s="198"/>
      <c r="H112" s="198"/>
      <c r="I112" s="198"/>
      <c r="J112" s="198"/>
      <c r="K112" s="198"/>
      <c r="L112" s="198"/>
      <c r="M112" s="182">
        <f t="shared" si="10"/>
        <v>0</v>
      </c>
    </row>
    <row r="113" spans="1:13" ht="13" x14ac:dyDescent="0.15">
      <c r="A113" s="198"/>
      <c r="B113" s="174"/>
      <c r="C113" s="199"/>
      <c r="D113" s="198"/>
      <c r="E113" s="198"/>
      <c r="F113" s="198"/>
      <c r="G113" s="198"/>
      <c r="H113" s="198"/>
      <c r="I113" s="198"/>
      <c r="J113" s="198"/>
      <c r="K113" s="198"/>
      <c r="L113" s="198"/>
      <c r="M113" s="182">
        <f t="shared" si="10"/>
        <v>0</v>
      </c>
    </row>
    <row r="114" spans="1:13" ht="13" x14ac:dyDescent="0.15">
      <c r="A114" s="198"/>
      <c r="B114" s="174"/>
      <c r="C114" s="199"/>
      <c r="D114" s="198"/>
      <c r="E114" s="198"/>
      <c r="F114" s="198"/>
      <c r="G114" s="198"/>
      <c r="H114" s="198"/>
      <c r="I114" s="198"/>
      <c r="J114" s="198"/>
      <c r="K114" s="198"/>
      <c r="L114" s="198"/>
      <c r="M114" s="182">
        <f t="shared" si="10"/>
        <v>0</v>
      </c>
    </row>
    <row r="115" spans="1:13" ht="13" x14ac:dyDescent="0.15">
      <c r="A115" s="198"/>
      <c r="B115" s="174"/>
      <c r="C115" s="199"/>
      <c r="D115" s="198"/>
      <c r="E115" s="198"/>
      <c r="F115" s="198"/>
      <c r="G115" s="198"/>
      <c r="H115" s="198"/>
      <c r="I115" s="198"/>
      <c r="J115" s="198"/>
      <c r="K115" s="198"/>
      <c r="L115" s="198"/>
      <c r="M115" s="182">
        <f t="shared" si="10"/>
        <v>0</v>
      </c>
    </row>
    <row r="116" spans="1:13" ht="13" x14ac:dyDescent="0.15">
      <c r="A116" s="198"/>
      <c r="B116" s="174"/>
      <c r="C116" s="199"/>
      <c r="D116" s="198"/>
      <c r="E116" s="198"/>
      <c r="F116" s="198"/>
      <c r="G116" s="198"/>
      <c r="H116" s="198"/>
      <c r="I116" s="198"/>
      <c r="J116" s="198"/>
      <c r="K116" s="198"/>
      <c r="L116" s="198"/>
      <c r="M116" s="182">
        <f t="shared" si="10"/>
        <v>0</v>
      </c>
    </row>
    <row r="117" spans="1:13" ht="13" x14ac:dyDescent="0.15">
      <c r="A117" s="198"/>
      <c r="B117" s="174"/>
      <c r="C117" s="199"/>
      <c r="D117" s="198"/>
      <c r="E117" s="198"/>
      <c r="F117" s="198"/>
      <c r="G117" s="198"/>
      <c r="H117" s="198"/>
      <c r="I117" s="198"/>
      <c r="J117" s="198"/>
      <c r="K117" s="198"/>
      <c r="L117" s="198"/>
      <c r="M117" s="182">
        <f t="shared" si="10"/>
        <v>0</v>
      </c>
    </row>
    <row r="118" spans="1:13" ht="13" x14ac:dyDescent="0.15">
      <c r="A118" s="198"/>
      <c r="B118" s="174"/>
      <c r="C118" s="199"/>
      <c r="D118" s="198"/>
      <c r="E118" s="198"/>
      <c r="F118" s="198"/>
      <c r="G118" s="198"/>
      <c r="H118" s="198"/>
      <c r="I118" s="198"/>
      <c r="J118" s="198"/>
      <c r="K118" s="198"/>
      <c r="L118" s="198"/>
      <c r="M118" s="182">
        <f t="shared" si="10"/>
        <v>0</v>
      </c>
    </row>
    <row r="119" spans="1:13" ht="13" x14ac:dyDescent="0.15">
      <c r="A119" s="198"/>
      <c r="B119" s="174"/>
      <c r="C119" s="199"/>
      <c r="D119" s="198"/>
      <c r="E119" s="198"/>
      <c r="F119" s="198"/>
      <c r="G119" s="198"/>
      <c r="H119" s="198"/>
      <c r="I119" s="198"/>
      <c r="J119" s="198"/>
      <c r="K119" s="198"/>
      <c r="L119" s="198"/>
      <c r="M119" s="182">
        <f t="shared" si="10"/>
        <v>0</v>
      </c>
    </row>
    <row r="120" spans="1:13" ht="13" x14ac:dyDescent="0.15">
      <c r="A120" s="198"/>
      <c r="B120" s="174"/>
      <c r="C120" s="199"/>
      <c r="D120" s="198"/>
      <c r="E120" s="198"/>
      <c r="F120" s="198"/>
      <c r="G120" s="198"/>
      <c r="H120" s="198"/>
      <c r="I120" s="198"/>
      <c r="J120" s="198"/>
      <c r="K120" s="198"/>
      <c r="L120" s="198"/>
      <c r="M120" s="182">
        <f t="shared" si="10"/>
        <v>0</v>
      </c>
    </row>
    <row r="121" spans="1:13" ht="13" collapsed="1" x14ac:dyDescent="0.15">
      <c r="A121" s="198"/>
      <c r="B121" s="174"/>
      <c r="C121" s="199"/>
      <c r="D121" s="198"/>
      <c r="E121" s="198"/>
      <c r="F121" s="198"/>
      <c r="G121" s="198"/>
      <c r="H121" s="198"/>
      <c r="I121" s="198"/>
      <c r="J121" s="198"/>
      <c r="K121" s="198"/>
      <c r="L121" s="198"/>
      <c r="M121" s="182">
        <f t="shared" si="10"/>
        <v>0</v>
      </c>
    </row>
    <row r="122" spans="1:13" ht="13" hidden="1" outlineLevel="1" x14ac:dyDescent="0.15">
      <c r="A122" s="198"/>
      <c r="B122" s="174"/>
      <c r="C122" s="199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</row>
    <row r="123" spans="1:13" ht="13" hidden="1" outlineLevel="1" x14ac:dyDescent="0.15">
      <c r="A123" s="198"/>
      <c r="B123" s="174"/>
      <c r="C123" s="199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</row>
    <row r="124" spans="1:13" ht="13" hidden="1" outlineLevel="1" x14ac:dyDescent="0.15">
      <c r="A124" s="198"/>
      <c r="B124" s="174"/>
      <c r="C124" s="199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</row>
    <row r="125" spans="1:13" ht="13" hidden="1" outlineLevel="1" x14ac:dyDescent="0.15">
      <c r="A125" s="198"/>
      <c r="B125" s="174"/>
      <c r="C125" s="199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</row>
    <row r="126" spans="1:13" ht="13" hidden="1" outlineLevel="1" x14ac:dyDescent="0.15">
      <c r="A126" s="198"/>
      <c r="B126" s="174"/>
      <c r="C126" s="199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</row>
    <row r="127" spans="1:13" ht="13" hidden="1" outlineLevel="1" x14ac:dyDescent="0.15">
      <c r="A127" s="198"/>
      <c r="B127" s="174"/>
      <c r="C127" s="199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</row>
    <row r="128" spans="1:13" ht="13" hidden="1" outlineLevel="1" x14ac:dyDescent="0.15">
      <c r="A128" s="198"/>
      <c r="B128" s="174"/>
      <c r="C128" s="199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</row>
    <row r="129" spans="1:13" ht="13" hidden="1" outlineLevel="1" x14ac:dyDescent="0.15">
      <c r="A129" s="198"/>
      <c r="B129" s="174"/>
      <c r="C129" s="199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</row>
    <row r="130" spans="1:13" ht="13" hidden="1" outlineLevel="1" x14ac:dyDescent="0.15">
      <c r="A130" s="198"/>
      <c r="B130" s="174"/>
      <c r="C130" s="199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</row>
    <row r="131" spans="1:13" ht="13" hidden="1" outlineLevel="1" x14ac:dyDescent="0.15">
      <c r="A131" s="198"/>
      <c r="B131" s="174"/>
      <c r="C131" s="199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</row>
    <row r="132" spans="1:13" ht="13" hidden="1" outlineLevel="1" x14ac:dyDescent="0.15">
      <c r="A132" s="198"/>
      <c r="B132" s="174"/>
      <c r="C132" s="199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</row>
    <row r="133" spans="1:13" ht="13" hidden="1" outlineLevel="1" x14ac:dyDescent="0.15">
      <c r="A133" s="198"/>
      <c r="B133" s="174"/>
      <c r="C133" s="199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</row>
    <row r="134" spans="1:13" ht="13" hidden="1" outlineLevel="1" x14ac:dyDescent="0.15">
      <c r="A134" s="198"/>
      <c r="B134" s="174"/>
      <c r="C134" s="199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</row>
    <row r="135" spans="1:13" ht="13" hidden="1" outlineLevel="1" x14ac:dyDescent="0.15">
      <c r="A135" s="198"/>
      <c r="B135" s="174"/>
      <c r="C135" s="199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</row>
    <row r="136" spans="1:13" ht="13" hidden="1" outlineLevel="1" x14ac:dyDescent="0.15">
      <c r="A136" s="198"/>
      <c r="B136" s="174"/>
      <c r="C136" s="199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</row>
    <row r="137" spans="1:13" ht="13" hidden="1" outlineLevel="1" x14ac:dyDescent="0.15">
      <c r="A137" s="198"/>
      <c r="B137" s="174"/>
      <c r="C137" s="199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</row>
    <row r="138" spans="1:13" ht="14" x14ac:dyDescent="0.15">
      <c r="A138" s="198"/>
      <c r="B138" s="177" t="s">
        <v>88</v>
      </c>
      <c r="C138" s="202">
        <f>SUM(C139:L156)</f>
        <v>0</v>
      </c>
      <c r="D138" s="198"/>
      <c r="E138" s="198"/>
      <c r="F138" s="198"/>
      <c r="G138" s="198"/>
      <c r="H138" s="198"/>
      <c r="I138" s="198"/>
      <c r="J138" s="198"/>
      <c r="K138" s="198"/>
      <c r="L138" s="198"/>
      <c r="M138" s="178">
        <f t="shared" ref="M138:M156" si="11">SUM(C138)</f>
        <v>0</v>
      </c>
    </row>
    <row r="139" spans="1:13" ht="14" x14ac:dyDescent="0.15">
      <c r="A139" s="198"/>
      <c r="B139" s="174" t="str">
        <f ca="1">IFERROR(__xludf.DUMMYFUNCTION("iferror(filter('Статьи'!$A$1:$A182,'Статьи'!$B$1:$B182=$B$138))"),"")</f>
        <v/>
      </c>
      <c r="C139" s="199"/>
      <c r="D139" s="198"/>
      <c r="E139" s="198"/>
      <c r="F139" s="198"/>
      <c r="G139" s="198"/>
      <c r="H139" s="198"/>
      <c r="I139" s="198"/>
      <c r="J139" s="198"/>
      <c r="K139" s="198"/>
      <c r="L139" s="198"/>
      <c r="M139" s="182">
        <f t="shared" si="11"/>
        <v>0</v>
      </c>
    </row>
    <row r="140" spans="1:13" ht="13" x14ac:dyDescent="0.15">
      <c r="A140" s="198"/>
      <c r="B140" s="174"/>
      <c r="C140" s="199"/>
      <c r="D140" s="198"/>
      <c r="E140" s="198"/>
      <c r="F140" s="198"/>
      <c r="G140" s="198"/>
      <c r="H140" s="198"/>
      <c r="I140" s="198"/>
      <c r="J140" s="198"/>
      <c r="K140" s="198"/>
      <c r="L140" s="198"/>
      <c r="M140" s="182">
        <f t="shared" si="11"/>
        <v>0</v>
      </c>
    </row>
    <row r="141" spans="1:13" ht="13" x14ac:dyDescent="0.15">
      <c r="A141" s="198"/>
      <c r="B141" s="195"/>
      <c r="C141" s="199"/>
      <c r="D141" s="198"/>
      <c r="E141" s="198"/>
      <c r="F141" s="198"/>
      <c r="G141" s="198"/>
      <c r="H141" s="198"/>
      <c r="I141" s="198"/>
      <c r="J141" s="198"/>
      <c r="K141" s="198"/>
      <c r="L141" s="198"/>
      <c r="M141" s="182">
        <f t="shared" si="11"/>
        <v>0</v>
      </c>
    </row>
    <row r="142" spans="1:13" ht="13" x14ac:dyDescent="0.15">
      <c r="A142" s="198"/>
      <c r="B142" s="195"/>
      <c r="C142" s="199"/>
      <c r="D142" s="198"/>
      <c r="E142" s="198"/>
      <c r="F142" s="198"/>
      <c r="G142" s="198"/>
      <c r="H142" s="198"/>
      <c r="I142" s="198"/>
      <c r="J142" s="198"/>
      <c r="K142" s="198"/>
      <c r="L142" s="198"/>
      <c r="M142" s="182">
        <f t="shared" si="11"/>
        <v>0</v>
      </c>
    </row>
    <row r="143" spans="1:13" ht="13" x14ac:dyDescent="0.15">
      <c r="A143" s="198"/>
      <c r="B143" s="195"/>
      <c r="C143" s="199"/>
      <c r="D143" s="198"/>
      <c r="E143" s="198"/>
      <c r="F143" s="198"/>
      <c r="G143" s="198"/>
      <c r="H143" s="198"/>
      <c r="I143" s="198"/>
      <c r="J143" s="198"/>
      <c r="K143" s="198"/>
      <c r="L143" s="198"/>
      <c r="M143" s="182">
        <f t="shared" si="11"/>
        <v>0</v>
      </c>
    </row>
    <row r="144" spans="1:13" ht="13" x14ac:dyDescent="0.15">
      <c r="A144" s="198"/>
      <c r="B144" s="195"/>
      <c r="C144" s="199"/>
      <c r="D144" s="198"/>
      <c r="E144" s="198"/>
      <c r="F144" s="198"/>
      <c r="G144" s="198"/>
      <c r="H144" s="198"/>
      <c r="I144" s="198"/>
      <c r="J144" s="198"/>
      <c r="K144" s="198"/>
      <c r="L144" s="198"/>
      <c r="M144" s="182">
        <f t="shared" si="11"/>
        <v>0</v>
      </c>
    </row>
    <row r="145" spans="1:13" ht="13" x14ac:dyDescent="0.15">
      <c r="A145" s="198"/>
      <c r="B145" s="195"/>
      <c r="C145" s="199"/>
      <c r="D145" s="198"/>
      <c r="E145" s="198"/>
      <c r="F145" s="198"/>
      <c r="G145" s="198"/>
      <c r="H145" s="198"/>
      <c r="I145" s="198"/>
      <c r="J145" s="198"/>
      <c r="K145" s="198"/>
      <c r="L145" s="198"/>
      <c r="M145" s="182">
        <f t="shared" si="11"/>
        <v>0</v>
      </c>
    </row>
    <row r="146" spans="1:13" ht="13" x14ac:dyDescent="0.15">
      <c r="A146" s="198"/>
      <c r="B146" s="195"/>
      <c r="C146" s="199"/>
      <c r="D146" s="198"/>
      <c r="E146" s="198"/>
      <c r="F146" s="198"/>
      <c r="G146" s="198"/>
      <c r="H146" s="198"/>
      <c r="I146" s="198"/>
      <c r="J146" s="198"/>
      <c r="K146" s="198"/>
      <c r="L146" s="198"/>
      <c r="M146" s="182">
        <f t="shared" si="11"/>
        <v>0</v>
      </c>
    </row>
    <row r="147" spans="1:13" ht="13" collapsed="1" x14ac:dyDescent="0.15">
      <c r="A147" s="198"/>
      <c r="B147" s="195"/>
      <c r="C147" s="199"/>
      <c r="D147" s="198"/>
      <c r="E147" s="198"/>
      <c r="F147" s="198"/>
      <c r="G147" s="198"/>
      <c r="H147" s="198"/>
      <c r="I147" s="198"/>
      <c r="J147" s="198"/>
      <c r="K147" s="198"/>
      <c r="L147" s="198"/>
      <c r="M147" s="182">
        <f t="shared" si="11"/>
        <v>0</v>
      </c>
    </row>
    <row r="148" spans="1:13" ht="13" hidden="1" outlineLevel="1" x14ac:dyDescent="0.15">
      <c r="A148" s="198"/>
      <c r="B148" s="195"/>
      <c r="C148" s="199"/>
      <c r="D148" s="198"/>
      <c r="E148" s="198"/>
      <c r="F148" s="198"/>
      <c r="G148" s="198"/>
      <c r="H148" s="198"/>
      <c r="I148" s="198"/>
      <c r="J148" s="198"/>
      <c r="K148" s="198"/>
      <c r="L148" s="198"/>
      <c r="M148" s="182">
        <f t="shared" si="11"/>
        <v>0</v>
      </c>
    </row>
    <row r="149" spans="1:13" ht="13" hidden="1" outlineLevel="1" x14ac:dyDescent="0.15">
      <c r="A149" s="198"/>
      <c r="B149" s="195"/>
      <c r="C149" s="199"/>
      <c r="D149" s="198"/>
      <c r="E149" s="198"/>
      <c r="F149" s="198"/>
      <c r="G149" s="198"/>
      <c r="H149" s="198"/>
      <c r="I149" s="198"/>
      <c r="J149" s="198"/>
      <c r="K149" s="198"/>
      <c r="L149" s="198"/>
      <c r="M149" s="182">
        <f t="shared" si="11"/>
        <v>0</v>
      </c>
    </row>
    <row r="150" spans="1:13" ht="13" hidden="1" outlineLevel="1" x14ac:dyDescent="0.15">
      <c r="A150" s="198"/>
      <c r="B150" s="195"/>
      <c r="C150" s="199"/>
      <c r="D150" s="198"/>
      <c r="E150" s="198"/>
      <c r="F150" s="198"/>
      <c r="G150" s="198"/>
      <c r="H150" s="198"/>
      <c r="I150" s="198"/>
      <c r="J150" s="198"/>
      <c r="K150" s="198"/>
      <c r="L150" s="198"/>
      <c r="M150" s="182">
        <f t="shared" si="11"/>
        <v>0</v>
      </c>
    </row>
    <row r="151" spans="1:13" ht="13" hidden="1" outlineLevel="1" x14ac:dyDescent="0.15">
      <c r="A151" s="198"/>
      <c r="B151" s="195"/>
      <c r="C151" s="199"/>
      <c r="D151" s="198"/>
      <c r="E151" s="198"/>
      <c r="F151" s="198"/>
      <c r="G151" s="198"/>
      <c r="H151" s="198"/>
      <c r="I151" s="198"/>
      <c r="J151" s="198"/>
      <c r="K151" s="198"/>
      <c r="L151" s="198"/>
      <c r="M151" s="182">
        <f t="shared" si="11"/>
        <v>0</v>
      </c>
    </row>
    <row r="152" spans="1:13" ht="13" hidden="1" outlineLevel="1" x14ac:dyDescent="0.15">
      <c r="A152" s="198"/>
      <c r="B152" s="195"/>
      <c r="C152" s="199"/>
      <c r="D152" s="198"/>
      <c r="E152" s="198"/>
      <c r="F152" s="198"/>
      <c r="G152" s="198"/>
      <c r="H152" s="198"/>
      <c r="I152" s="198"/>
      <c r="J152" s="198"/>
      <c r="K152" s="198"/>
      <c r="L152" s="198"/>
      <c r="M152" s="182">
        <f t="shared" si="11"/>
        <v>0</v>
      </c>
    </row>
    <row r="153" spans="1:13" ht="13" hidden="1" outlineLevel="1" x14ac:dyDescent="0.15">
      <c r="A153" s="198"/>
      <c r="B153" s="195"/>
      <c r="C153" s="199"/>
      <c r="D153" s="198"/>
      <c r="E153" s="198"/>
      <c r="F153" s="198"/>
      <c r="G153" s="198"/>
      <c r="H153" s="198"/>
      <c r="I153" s="198"/>
      <c r="J153" s="198"/>
      <c r="K153" s="198"/>
      <c r="L153" s="198"/>
      <c r="M153" s="182">
        <f t="shared" si="11"/>
        <v>0</v>
      </c>
    </row>
    <row r="154" spans="1:13" ht="13" hidden="1" outlineLevel="1" x14ac:dyDescent="0.15">
      <c r="A154" s="198"/>
      <c r="B154" s="195"/>
      <c r="C154" s="199"/>
      <c r="D154" s="198"/>
      <c r="E154" s="198"/>
      <c r="F154" s="198"/>
      <c r="G154" s="198"/>
      <c r="H154" s="198"/>
      <c r="I154" s="198"/>
      <c r="J154" s="198"/>
      <c r="K154" s="198"/>
      <c r="L154" s="198"/>
      <c r="M154" s="182">
        <f t="shared" si="11"/>
        <v>0</v>
      </c>
    </row>
    <row r="155" spans="1:13" ht="13" hidden="1" outlineLevel="1" x14ac:dyDescent="0.15">
      <c r="A155" s="198"/>
      <c r="B155" s="195"/>
      <c r="C155" s="199"/>
      <c r="D155" s="198"/>
      <c r="E155" s="198"/>
      <c r="F155" s="198"/>
      <c r="G155" s="198"/>
      <c r="H155" s="198"/>
      <c r="I155" s="198"/>
      <c r="J155" s="198"/>
      <c r="K155" s="198"/>
      <c r="L155" s="198"/>
      <c r="M155" s="182">
        <f t="shared" si="11"/>
        <v>0</v>
      </c>
    </row>
    <row r="156" spans="1:13" ht="14" hidden="1" outlineLevel="1" x14ac:dyDescent="0.2">
      <c r="A156" s="198"/>
      <c r="B156" s="193"/>
      <c r="C156" s="199"/>
      <c r="D156" s="198"/>
      <c r="E156" s="198"/>
      <c r="F156" s="198"/>
      <c r="G156" s="198"/>
      <c r="H156" s="198"/>
      <c r="I156" s="198"/>
      <c r="J156" s="198"/>
      <c r="K156" s="198"/>
      <c r="L156" s="198"/>
      <c r="M156" s="182">
        <f t="shared" si="11"/>
        <v>0</v>
      </c>
    </row>
    <row r="157" spans="1:13" ht="15" x14ac:dyDescent="0.15">
      <c r="A157" s="198"/>
      <c r="B157" s="172" t="s">
        <v>39</v>
      </c>
      <c r="C157" s="200">
        <f>M89+C92</f>
        <v>73020</v>
      </c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</row>
    <row r="158" spans="1:13" ht="14" x14ac:dyDescent="0.15">
      <c r="A158" s="198"/>
      <c r="B158" s="184" t="s">
        <v>89</v>
      </c>
      <c r="C158" s="201">
        <f>IFERROR(C157/$M$2,"")</f>
        <v>0.4867351019864018</v>
      </c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</row>
    <row r="159" spans="1:13" ht="13" x14ac:dyDescent="0.15">
      <c r="A159" s="198"/>
      <c r="B159" s="174"/>
      <c r="C159" s="196"/>
      <c r="D159" s="196"/>
      <c r="E159" s="196"/>
      <c r="F159" s="196"/>
      <c r="G159" s="196"/>
      <c r="H159" s="196"/>
      <c r="I159" s="196"/>
      <c r="J159" s="4"/>
      <c r="K159" s="4"/>
      <c r="L159" s="4"/>
      <c r="M159" s="4"/>
    </row>
    <row r="160" spans="1:13" ht="14" x14ac:dyDescent="0.15">
      <c r="A160" s="198"/>
      <c r="B160" s="177" t="s">
        <v>12</v>
      </c>
      <c r="C160" s="202">
        <f>SUM(C161:C177)</f>
        <v>0</v>
      </c>
      <c r="D160" s="198"/>
      <c r="E160" s="198"/>
      <c r="F160" s="198"/>
      <c r="G160" s="198"/>
      <c r="H160" s="198"/>
      <c r="I160" s="198"/>
      <c r="J160" s="198"/>
      <c r="K160" s="198"/>
      <c r="L160" s="198"/>
      <c r="M160" s="178">
        <f t="shared" ref="M160:M177" si="12">SUM(C160)</f>
        <v>0</v>
      </c>
    </row>
    <row r="161" spans="1:13" ht="14" x14ac:dyDescent="0.15">
      <c r="A161" s="198"/>
      <c r="B161" s="186" t="str">
        <f ca="1">IFERROR(__xludf.DUMMYFUNCTION("iferror(filter('Статьи'!$A$1:$A182,'Статьи'!$B$1:$B182=""Расходы ниже EBITDA""))"),"Налог УСН ")</f>
        <v xml:space="preserve">Налог УСН </v>
      </c>
      <c r="C161" s="199"/>
      <c r="D161" s="198"/>
      <c r="E161" s="198"/>
      <c r="F161" s="198"/>
      <c r="G161" s="198"/>
      <c r="H161" s="198"/>
      <c r="I161" s="198"/>
      <c r="J161" s="198"/>
      <c r="K161" s="198"/>
      <c r="L161" s="198"/>
      <c r="M161" s="182">
        <f t="shared" si="12"/>
        <v>0</v>
      </c>
    </row>
    <row r="162" spans="1:13" ht="14" x14ac:dyDescent="0.15">
      <c r="A162" s="198"/>
      <c r="B162" s="174" t="str">
        <f ca="1">IFERROR(__xludf.DUMMYFUNCTION("""COMPUTED_VALUE"""),"Доля Маши")</f>
        <v>Доля Маши</v>
      </c>
      <c r="C162" s="199"/>
      <c r="D162" s="198"/>
      <c r="E162" s="198"/>
      <c r="F162" s="198"/>
      <c r="G162" s="198"/>
      <c r="H162" s="198"/>
      <c r="I162" s="198"/>
      <c r="J162" s="198"/>
      <c r="K162" s="198"/>
      <c r="L162" s="198"/>
      <c r="M162" s="182">
        <f t="shared" si="12"/>
        <v>0</v>
      </c>
    </row>
    <row r="163" spans="1:13" ht="13" x14ac:dyDescent="0.15">
      <c r="A163" s="198"/>
      <c r="B163" s="174"/>
      <c r="C163" s="199"/>
      <c r="D163" s="198"/>
      <c r="E163" s="198"/>
      <c r="F163" s="198"/>
      <c r="G163" s="198"/>
      <c r="H163" s="198"/>
      <c r="I163" s="198"/>
      <c r="J163" s="198"/>
      <c r="K163" s="198"/>
      <c r="L163" s="198"/>
      <c r="M163" s="182">
        <f t="shared" si="12"/>
        <v>0</v>
      </c>
    </row>
    <row r="164" spans="1:13" ht="13" x14ac:dyDescent="0.15">
      <c r="A164" s="198"/>
      <c r="B164" s="174"/>
      <c r="C164" s="199"/>
      <c r="D164" s="198"/>
      <c r="E164" s="198"/>
      <c r="F164" s="198"/>
      <c r="G164" s="198"/>
      <c r="H164" s="198"/>
      <c r="I164" s="198"/>
      <c r="J164" s="198"/>
      <c r="K164" s="198"/>
      <c r="L164" s="198"/>
      <c r="M164" s="182">
        <f t="shared" si="12"/>
        <v>0</v>
      </c>
    </row>
    <row r="165" spans="1:13" ht="13" x14ac:dyDescent="0.15">
      <c r="A165" s="198"/>
      <c r="B165" s="186"/>
      <c r="C165" s="199"/>
      <c r="D165" s="198"/>
      <c r="E165" s="198"/>
      <c r="F165" s="198"/>
      <c r="G165" s="198"/>
      <c r="H165" s="198"/>
      <c r="I165" s="198"/>
      <c r="J165" s="198"/>
      <c r="K165" s="198"/>
      <c r="L165" s="198"/>
      <c r="M165" s="182">
        <f t="shared" si="12"/>
        <v>0</v>
      </c>
    </row>
    <row r="166" spans="1:13" ht="13" x14ac:dyDescent="0.15">
      <c r="A166" s="198"/>
      <c r="B166" s="197"/>
      <c r="C166" s="199"/>
      <c r="D166" s="198"/>
      <c r="E166" s="198"/>
      <c r="F166" s="198"/>
      <c r="G166" s="198"/>
      <c r="H166" s="198"/>
      <c r="I166" s="198"/>
      <c r="J166" s="198"/>
      <c r="K166" s="198"/>
      <c r="L166" s="198"/>
      <c r="M166" s="182">
        <f t="shared" si="12"/>
        <v>0</v>
      </c>
    </row>
    <row r="167" spans="1:13" ht="13" collapsed="1" x14ac:dyDescent="0.15">
      <c r="A167" s="198"/>
      <c r="B167" s="174"/>
      <c r="C167" s="199"/>
      <c r="D167" s="198"/>
      <c r="E167" s="198"/>
      <c r="F167" s="198"/>
      <c r="G167" s="198"/>
      <c r="H167" s="198"/>
      <c r="I167" s="198"/>
      <c r="J167" s="198"/>
      <c r="K167" s="198"/>
      <c r="L167" s="198"/>
      <c r="M167" s="182">
        <f t="shared" si="12"/>
        <v>0</v>
      </c>
    </row>
    <row r="168" spans="1:13" ht="13" hidden="1" outlineLevel="1" x14ac:dyDescent="0.15">
      <c r="A168" s="198"/>
      <c r="B168" s="174"/>
      <c r="C168" s="199"/>
      <c r="D168" s="198"/>
      <c r="E168" s="198"/>
      <c r="F168" s="198"/>
      <c r="G168" s="198"/>
      <c r="H168" s="198"/>
      <c r="I168" s="198"/>
      <c r="J168" s="198"/>
      <c r="K168" s="198"/>
      <c r="L168" s="198"/>
      <c r="M168" s="182">
        <f t="shared" si="12"/>
        <v>0</v>
      </c>
    </row>
    <row r="169" spans="1:13" ht="13" hidden="1" outlineLevel="1" x14ac:dyDescent="0.15">
      <c r="A169" s="198"/>
      <c r="B169" s="174"/>
      <c r="C169" s="199"/>
      <c r="D169" s="198"/>
      <c r="E169" s="198"/>
      <c r="F169" s="198"/>
      <c r="G169" s="198"/>
      <c r="H169" s="198"/>
      <c r="I169" s="198"/>
      <c r="J169" s="198"/>
      <c r="K169" s="198"/>
      <c r="L169" s="198"/>
      <c r="M169" s="182">
        <f t="shared" si="12"/>
        <v>0</v>
      </c>
    </row>
    <row r="170" spans="1:13" ht="13" hidden="1" outlineLevel="1" x14ac:dyDescent="0.15">
      <c r="A170" s="198"/>
      <c r="B170" s="174"/>
      <c r="C170" s="199"/>
      <c r="D170" s="198"/>
      <c r="E170" s="198"/>
      <c r="F170" s="198"/>
      <c r="G170" s="198"/>
      <c r="H170" s="198"/>
      <c r="I170" s="198"/>
      <c r="J170" s="198"/>
      <c r="K170" s="198"/>
      <c r="L170" s="198"/>
      <c r="M170" s="182">
        <f t="shared" si="12"/>
        <v>0</v>
      </c>
    </row>
    <row r="171" spans="1:13" ht="13" hidden="1" outlineLevel="1" x14ac:dyDescent="0.15">
      <c r="A171" s="198"/>
      <c r="B171" s="174"/>
      <c r="C171" s="199"/>
      <c r="D171" s="198"/>
      <c r="E171" s="198"/>
      <c r="F171" s="198"/>
      <c r="G171" s="198"/>
      <c r="H171" s="198"/>
      <c r="I171" s="198"/>
      <c r="J171" s="198"/>
      <c r="K171" s="198"/>
      <c r="L171" s="198"/>
      <c r="M171" s="182">
        <f t="shared" si="12"/>
        <v>0</v>
      </c>
    </row>
    <row r="172" spans="1:13" ht="13" hidden="1" outlineLevel="1" x14ac:dyDescent="0.15">
      <c r="A172" s="198"/>
      <c r="B172" s="174"/>
      <c r="C172" s="199"/>
      <c r="D172" s="198"/>
      <c r="E172" s="198"/>
      <c r="F172" s="198"/>
      <c r="G172" s="198"/>
      <c r="H172" s="198"/>
      <c r="I172" s="198"/>
      <c r="J172" s="198"/>
      <c r="K172" s="198"/>
      <c r="L172" s="198"/>
      <c r="M172" s="182">
        <f t="shared" si="12"/>
        <v>0</v>
      </c>
    </row>
    <row r="173" spans="1:13" ht="13" hidden="1" outlineLevel="1" x14ac:dyDescent="0.15">
      <c r="A173" s="198"/>
      <c r="B173" s="174"/>
      <c r="C173" s="199"/>
      <c r="D173" s="198"/>
      <c r="E173" s="198"/>
      <c r="F173" s="198"/>
      <c r="G173" s="198"/>
      <c r="H173" s="198"/>
      <c r="I173" s="198"/>
      <c r="J173" s="198"/>
      <c r="K173" s="198"/>
      <c r="L173" s="198"/>
      <c r="M173" s="182">
        <f t="shared" si="12"/>
        <v>0</v>
      </c>
    </row>
    <row r="174" spans="1:13" ht="13" hidden="1" outlineLevel="1" x14ac:dyDescent="0.15">
      <c r="A174" s="198"/>
      <c r="B174" s="174"/>
      <c r="C174" s="199"/>
      <c r="D174" s="198"/>
      <c r="E174" s="198"/>
      <c r="F174" s="198"/>
      <c r="G174" s="198"/>
      <c r="H174" s="198"/>
      <c r="I174" s="198"/>
      <c r="J174" s="198"/>
      <c r="K174" s="198"/>
      <c r="L174" s="198"/>
      <c r="M174" s="182">
        <f t="shared" si="12"/>
        <v>0</v>
      </c>
    </row>
    <row r="175" spans="1:13" ht="13" hidden="1" outlineLevel="1" x14ac:dyDescent="0.15">
      <c r="A175" s="198"/>
      <c r="B175" s="174"/>
      <c r="C175" s="199"/>
      <c r="D175" s="198"/>
      <c r="E175" s="198"/>
      <c r="F175" s="198"/>
      <c r="G175" s="198"/>
      <c r="H175" s="198"/>
      <c r="I175" s="198"/>
      <c r="J175" s="198"/>
      <c r="K175" s="198"/>
      <c r="L175" s="198"/>
      <c r="M175" s="182">
        <f t="shared" si="12"/>
        <v>0</v>
      </c>
    </row>
    <row r="176" spans="1:13" ht="13" hidden="1" outlineLevel="1" x14ac:dyDescent="0.15">
      <c r="A176" s="198"/>
      <c r="B176" s="174"/>
      <c r="C176" s="199"/>
      <c r="D176" s="198"/>
      <c r="E176" s="198"/>
      <c r="F176" s="198"/>
      <c r="G176" s="198"/>
      <c r="H176" s="198"/>
      <c r="I176" s="198"/>
      <c r="J176" s="198"/>
      <c r="K176" s="198"/>
      <c r="L176" s="198"/>
      <c r="M176" s="182">
        <f t="shared" si="12"/>
        <v>0</v>
      </c>
    </row>
    <row r="177" spans="1:13" ht="13" hidden="1" outlineLevel="1" x14ac:dyDescent="0.15">
      <c r="A177" s="198"/>
      <c r="B177" s="174"/>
      <c r="C177" s="199"/>
      <c r="D177" s="198"/>
      <c r="E177" s="198"/>
      <c r="F177" s="198"/>
      <c r="G177" s="198"/>
      <c r="H177" s="198"/>
      <c r="I177" s="198"/>
      <c r="J177" s="198"/>
      <c r="K177" s="198"/>
      <c r="L177" s="198"/>
      <c r="M177" s="182">
        <f t="shared" si="12"/>
        <v>0</v>
      </c>
    </row>
    <row r="178" spans="1:13" ht="15" x14ac:dyDescent="0.15">
      <c r="A178" s="198"/>
      <c r="B178" s="172" t="s">
        <v>90</v>
      </c>
      <c r="C178" s="200">
        <f>C157+C160</f>
        <v>73020</v>
      </c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</row>
    <row r="179" spans="1:13" ht="28" x14ac:dyDescent="0.15">
      <c r="A179" s="184"/>
      <c r="B179" s="184" t="s">
        <v>14</v>
      </c>
      <c r="C179" s="201">
        <f>IFERROR(C178/$M$2,"")</f>
        <v>0.4867351019864018</v>
      </c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</row>
    <row r="180" spans="1:13" ht="13" x14ac:dyDescent="0.15">
      <c r="A180" s="174"/>
      <c r="B180" s="174"/>
      <c r="C180" s="175"/>
      <c r="D180" s="175"/>
      <c r="E180" s="175"/>
      <c r="F180" s="175"/>
      <c r="G180" s="175"/>
      <c r="H180" s="175"/>
      <c r="I180" s="175"/>
      <c r="J180" s="4"/>
      <c r="K180" s="4"/>
      <c r="L180" s="4"/>
      <c r="M180" s="4"/>
    </row>
    <row r="181" spans="1:13" ht="13" x14ac:dyDescent="0.15">
      <c r="A181" s="174"/>
      <c r="B181" s="174"/>
      <c r="C181" s="175"/>
      <c r="D181" s="175"/>
      <c r="E181" s="175"/>
      <c r="F181" s="175"/>
      <c r="G181" s="175"/>
      <c r="H181" s="175"/>
      <c r="I181" s="175"/>
      <c r="J181" s="4"/>
      <c r="K181" s="4"/>
      <c r="L181" s="4"/>
      <c r="M181" s="4"/>
    </row>
    <row r="182" spans="1:13" ht="13" x14ac:dyDescent="0.15">
      <c r="A182" s="174"/>
      <c r="B182" s="174"/>
      <c r="C182" s="175"/>
      <c r="D182" s="175"/>
      <c r="E182" s="175"/>
      <c r="F182" s="175"/>
      <c r="G182" s="175"/>
      <c r="H182" s="175"/>
      <c r="I182" s="175"/>
      <c r="J182" s="4"/>
      <c r="K182" s="4"/>
      <c r="L182" s="4"/>
      <c r="M182" s="4"/>
    </row>
  </sheetData>
  <mergeCells count="75">
    <mergeCell ref="C178:M178"/>
    <mergeCell ref="C179:M179"/>
    <mergeCell ref="C177:L177"/>
    <mergeCell ref="A2:A89"/>
    <mergeCell ref="A91:A178"/>
    <mergeCell ref="C92:L92"/>
    <mergeCell ref="C107:L107"/>
    <mergeCell ref="C108:L108"/>
    <mergeCell ref="C109:L109"/>
    <mergeCell ref="C110:L110"/>
    <mergeCell ref="C153:L153"/>
    <mergeCell ref="C154:L154"/>
    <mergeCell ref="C155:L155"/>
    <mergeCell ref="C156:L156"/>
    <mergeCell ref="C160:L160"/>
    <mergeCell ref="C161:L161"/>
    <mergeCell ref="C162:L162"/>
    <mergeCell ref="C163:L163"/>
    <mergeCell ref="C172:L172"/>
    <mergeCell ref="C173:L173"/>
    <mergeCell ref="C174:L174"/>
    <mergeCell ref="C175:L175"/>
    <mergeCell ref="C176:L176"/>
    <mergeCell ref="C158:M158"/>
    <mergeCell ref="C121:L121"/>
    <mergeCell ref="C138:L138"/>
    <mergeCell ref="C170:L170"/>
    <mergeCell ref="C171:L171"/>
    <mergeCell ref="C164:L164"/>
    <mergeCell ref="C165:L165"/>
    <mergeCell ref="C166:L166"/>
    <mergeCell ref="C167:L167"/>
    <mergeCell ref="C168:L168"/>
    <mergeCell ref="C169:L169"/>
    <mergeCell ref="C149:L149"/>
    <mergeCell ref="C150:L150"/>
    <mergeCell ref="C151:L151"/>
    <mergeCell ref="C152:L152"/>
    <mergeCell ref="C157:M157"/>
    <mergeCell ref="C144:L144"/>
    <mergeCell ref="C145:L145"/>
    <mergeCell ref="C146:L146"/>
    <mergeCell ref="C147:L147"/>
    <mergeCell ref="C148:L148"/>
    <mergeCell ref="C139:L139"/>
    <mergeCell ref="C140:L140"/>
    <mergeCell ref="C141:L141"/>
    <mergeCell ref="C142:L142"/>
    <mergeCell ref="C143:L143"/>
    <mergeCell ref="C134:M134"/>
    <mergeCell ref="C135:M135"/>
    <mergeCell ref="C136:M136"/>
    <mergeCell ref="C137:M137"/>
    <mergeCell ref="C127:M127"/>
    <mergeCell ref="C128:M128"/>
    <mergeCell ref="C129:M129"/>
    <mergeCell ref="C130:M130"/>
    <mergeCell ref="C131:M131"/>
    <mergeCell ref="C132:M132"/>
    <mergeCell ref="C133:M133"/>
    <mergeCell ref="C122:M122"/>
    <mergeCell ref="C123:M123"/>
    <mergeCell ref="C124:M124"/>
    <mergeCell ref="C125:M125"/>
    <mergeCell ref="C126:M126"/>
    <mergeCell ref="C116:L116"/>
    <mergeCell ref="C117:L117"/>
    <mergeCell ref="C118:L118"/>
    <mergeCell ref="C119:L119"/>
    <mergeCell ref="C120:L120"/>
    <mergeCell ref="C111:L111"/>
    <mergeCell ref="C112:L112"/>
    <mergeCell ref="C113:L113"/>
    <mergeCell ref="C114:L114"/>
    <mergeCell ref="C115:L115"/>
  </mergeCells>
  <conditionalFormatting sqref="A1">
    <cfRule type="notContainsBlanks" dxfId="4" priority="5">
      <formula>LEN(TRIM(A1))&gt;0</formula>
    </cfRule>
  </conditionalFormatting>
  <conditionalFormatting sqref="C12:L53">
    <cfRule type="expression" dxfId="3" priority="1">
      <formula>C$1=""</formula>
    </cfRule>
    <cfRule type="expression" dxfId="2" priority="2">
      <formula>OR(#REF!=C$1,#REF!=C$1,#REF!=C$1,#REF!=C$1,#REF!=C$1,#REF!=C$1,#REF!=C$1,#REF!=C$1,#REF!=C$1)</formula>
    </cfRule>
  </conditionalFormatting>
  <conditionalFormatting sqref="C58:L88">
    <cfRule type="expression" dxfId="1" priority="3">
      <formula>C$1=""</formula>
    </cfRule>
    <cfRule type="expression" dxfId="0" priority="4">
      <formula>OR(#REF!=C$1,#REF!=C$1,#REF!=C$1,#REF!=C$1,#REF!=C$1,#REF!=C$1,#REF!=C$1,#REF!=C$1,#REF!=C$1)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Факт</vt:lpstr>
      <vt:lpstr>Направления</vt:lpstr>
      <vt:lpstr>Альтернативная структура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2026-05-21T17:07:00Z</dcterms:modified>
</cp:coreProperties>
</file>